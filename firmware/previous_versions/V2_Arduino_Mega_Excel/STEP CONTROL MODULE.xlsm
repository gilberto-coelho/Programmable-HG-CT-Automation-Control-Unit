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ilbe\OneDrive\Área de Trabalho\DOUTORADO &amp; POS DOC\PROJETO - DBD\CZECH REPUBLIC\Arduino\"/>
    </mc:Choice>
  </mc:AlternateContent>
  <xr:revisionPtr revIDLastSave="0" documentId="13_ncr:1_{52697FBA-9473-4611-8A9A-AF3D3E881C72}" xr6:coauthVersionLast="47" xr6:coauthVersionMax="47" xr10:uidLastSave="{00000000-0000-0000-0000-000000000000}"/>
  <bookViews>
    <workbookView xWindow="-110" yWindow="-110" windowWidth="19420" windowHeight="10300" xr2:uid="{6FB800E3-E452-4422-A4CE-F635EDBAE77B}"/>
  </bookViews>
  <sheets>
    <sheet name="STEP" sheetId="1" r:id="rId1"/>
    <sheet name="Dados em" sheetId="5" state="hidden" r:id="rId2"/>
    <sheet name="Saída de dados" sheetId="4" state="hidden" r:id="rId3"/>
    <sheet name="Configurações" sheetId="3" state="hidden" r:id="rId4"/>
    <sheet name="Manifesto" sheetId="2" state="hidden" r:id="rId5"/>
  </sheets>
  <definedNames>
    <definedName name="DataChannelCountSetting">Configurações!$C$8</definedName>
    <definedName name="DataDelaySetting">Configurações!$C$4</definedName>
    <definedName name="DataOrientationSetting">Configurações!$C$10</definedName>
    <definedName name="DataRowCountSetting">Configurações!$C$6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R92" i="1"/>
  <c r="G10" i="1" s="1"/>
  <c r="R93" i="1"/>
  <c r="G11" i="1" s="1"/>
  <c r="R94" i="1"/>
  <c r="G12" i="1" s="1"/>
  <c r="R95" i="1"/>
  <c r="G13" i="1" s="1"/>
  <c r="R96" i="1"/>
  <c r="F14" i="1" s="1"/>
  <c r="R97" i="1"/>
  <c r="G15" i="1" s="1"/>
  <c r="R98" i="1"/>
  <c r="G16" i="1" s="1"/>
  <c r="R99" i="1"/>
  <c r="F17" i="1" s="1"/>
  <c r="R100" i="1"/>
  <c r="F18" i="1" s="1"/>
  <c r="R101" i="1"/>
  <c r="G19" i="1" s="1"/>
  <c r="R102" i="1"/>
  <c r="G20" i="1" s="1"/>
  <c r="R91" i="1"/>
  <c r="G9" i="1" s="1"/>
  <c r="Q119" i="1"/>
  <c r="O119" i="1"/>
  <c r="M119" i="1"/>
  <c r="K119" i="1"/>
  <c r="I119" i="1"/>
  <c r="H119" i="1"/>
  <c r="G119" i="1"/>
  <c r="F119" i="1"/>
  <c r="E119" i="1"/>
  <c r="D119" i="1"/>
  <c r="Q118" i="1"/>
  <c r="O118" i="1"/>
  <c r="M118" i="1"/>
  <c r="K118" i="1"/>
  <c r="I118" i="1"/>
  <c r="H118" i="1"/>
  <c r="G118" i="1"/>
  <c r="F118" i="1"/>
  <c r="E118" i="1"/>
  <c r="D118" i="1"/>
  <c r="Q117" i="1"/>
  <c r="O117" i="1"/>
  <c r="M117" i="1"/>
  <c r="K117" i="1"/>
  <c r="I117" i="1"/>
  <c r="H117" i="1"/>
  <c r="G117" i="1"/>
  <c r="F117" i="1"/>
  <c r="E117" i="1"/>
  <c r="D117" i="1"/>
  <c r="Q116" i="1"/>
  <c r="O116" i="1"/>
  <c r="M116" i="1"/>
  <c r="K116" i="1"/>
  <c r="I116" i="1"/>
  <c r="H116" i="1"/>
  <c r="G116" i="1"/>
  <c r="F116" i="1"/>
  <c r="E116" i="1"/>
  <c r="D116" i="1"/>
  <c r="Q115" i="1"/>
  <c r="O115" i="1"/>
  <c r="M115" i="1"/>
  <c r="K115" i="1"/>
  <c r="I115" i="1"/>
  <c r="H115" i="1"/>
  <c r="G115" i="1"/>
  <c r="F115" i="1"/>
  <c r="E115" i="1"/>
  <c r="D115" i="1"/>
  <c r="Q114" i="1"/>
  <c r="O114" i="1"/>
  <c r="M114" i="1"/>
  <c r="K114" i="1"/>
  <c r="I114" i="1"/>
  <c r="H114" i="1"/>
  <c r="G114" i="1"/>
  <c r="F114" i="1"/>
  <c r="E114" i="1"/>
  <c r="D114" i="1"/>
  <c r="Q113" i="1"/>
  <c r="O113" i="1"/>
  <c r="M113" i="1"/>
  <c r="K113" i="1"/>
  <c r="I113" i="1"/>
  <c r="H113" i="1"/>
  <c r="G113" i="1"/>
  <c r="F113" i="1"/>
  <c r="E113" i="1"/>
  <c r="D113" i="1"/>
  <c r="Q112" i="1"/>
  <c r="O112" i="1"/>
  <c r="M112" i="1"/>
  <c r="K112" i="1"/>
  <c r="I112" i="1"/>
  <c r="H112" i="1"/>
  <c r="G112" i="1"/>
  <c r="F112" i="1"/>
  <c r="E112" i="1"/>
  <c r="D112" i="1"/>
  <c r="Q111" i="1"/>
  <c r="O111" i="1"/>
  <c r="M111" i="1"/>
  <c r="K111" i="1"/>
  <c r="I111" i="1"/>
  <c r="H111" i="1"/>
  <c r="G111" i="1"/>
  <c r="F111" i="1"/>
  <c r="E111" i="1"/>
  <c r="D111" i="1"/>
  <c r="Q110" i="1"/>
  <c r="O110" i="1"/>
  <c r="M110" i="1"/>
  <c r="K110" i="1"/>
  <c r="I110" i="1"/>
  <c r="H110" i="1"/>
  <c r="G110" i="1"/>
  <c r="F110" i="1"/>
  <c r="E110" i="1"/>
  <c r="D110" i="1"/>
  <c r="Q109" i="1"/>
  <c r="O109" i="1"/>
  <c r="M109" i="1"/>
  <c r="K109" i="1"/>
  <c r="I109" i="1"/>
  <c r="H109" i="1"/>
  <c r="G109" i="1"/>
  <c r="F109" i="1"/>
  <c r="E109" i="1"/>
  <c r="D109" i="1"/>
  <c r="Q108" i="1"/>
  <c r="O108" i="1"/>
  <c r="M108" i="1"/>
  <c r="K108" i="1"/>
  <c r="I108" i="1"/>
  <c r="H108" i="1"/>
  <c r="G108" i="1"/>
  <c r="F108" i="1"/>
  <c r="E108" i="1"/>
  <c r="D108" i="1"/>
  <c r="P92" i="1"/>
  <c r="P109" i="1" s="1"/>
  <c r="P93" i="1"/>
  <c r="P110" i="1" s="1"/>
  <c r="P94" i="1"/>
  <c r="P111" i="1" s="1"/>
  <c r="P95" i="1"/>
  <c r="P112" i="1" s="1"/>
  <c r="P96" i="1"/>
  <c r="P113" i="1" s="1"/>
  <c r="P97" i="1"/>
  <c r="P114" i="1" s="1"/>
  <c r="P98" i="1"/>
  <c r="P115" i="1" s="1"/>
  <c r="P99" i="1"/>
  <c r="P116" i="1" s="1"/>
  <c r="P100" i="1"/>
  <c r="P117" i="1" s="1"/>
  <c r="P101" i="1"/>
  <c r="P118" i="1" s="1"/>
  <c r="P102" i="1"/>
  <c r="P119" i="1" s="1"/>
  <c r="N92" i="1"/>
  <c r="N109" i="1" s="1"/>
  <c r="N93" i="1"/>
  <c r="N110" i="1" s="1"/>
  <c r="N94" i="1"/>
  <c r="N111" i="1" s="1"/>
  <c r="N95" i="1"/>
  <c r="N112" i="1" s="1"/>
  <c r="N96" i="1"/>
  <c r="N113" i="1" s="1"/>
  <c r="N97" i="1"/>
  <c r="N114" i="1" s="1"/>
  <c r="N98" i="1"/>
  <c r="N115" i="1" s="1"/>
  <c r="N99" i="1"/>
  <c r="N116" i="1" s="1"/>
  <c r="N100" i="1"/>
  <c r="N117" i="1" s="1"/>
  <c r="N101" i="1"/>
  <c r="N118" i="1" s="1"/>
  <c r="N102" i="1"/>
  <c r="N119" i="1" s="1"/>
  <c r="L92" i="1"/>
  <c r="L109" i="1" s="1"/>
  <c r="L93" i="1"/>
  <c r="L110" i="1" s="1"/>
  <c r="L94" i="1"/>
  <c r="L111" i="1" s="1"/>
  <c r="L95" i="1"/>
  <c r="L112" i="1" s="1"/>
  <c r="L96" i="1"/>
  <c r="L113" i="1" s="1"/>
  <c r="L97" i="1"/>
  <c r="L114" i="1" s="1"/>
  <c r="L98" i="1"/>
  <c r="L115" i="1" s="1"/>
  <c r="L99" i="1"/>
  <c r="L116" i="1" s="1"/>
  <c r="L100" i="1"/>
  <c r="L117" i="1" s="1"/>
  <c r="L101" i="1"/>
  <c r="L118" i="1" s="1"/>
  <c r="L102" i="1"/>
  <c r="L119" i="1" s="1"/>
  <c r="J92" i="1"/>
  <c r="J109" i="1" s="1"/>
  <c r="J93" i="1"/>
  <c r="J110" i="1" s="1"/>
  <c r="J94" i="1"/>
  <c r="J111" i="1" s="1"/>
  <c r="J95" i="1"/>
  <c r="J112" i="1" s="1"/>
  <c r="J96" i="1"/>
  <c r="J113" i="1" s="1"/>
  <c r="J97" i="1"/>
  <c r="J114" i="1" s="1"/>
  <c r="J98" i="1"/>
  <c r="J115" i="1" s="1"/>
  <c r="J99" i="1"/>
  <c r="J116" i="1" s="1"/>
  <c r="J100" i="1"/>
  <c r="J117" i="1" s="1"/>
  <c r="J101" i="1"/>
  <c r="J118" i="1" s="1"/>
  <c r="J102" i="1"/>
  <c r="J119" i="1" s="1"/>
  <c r="P91" i="1"/>
  <c r="P108" i="1" s="1"/>
  <c r="N91" i="1"/>
  <c r="N108" i="1" s="1"/>
  <c r="L91" i="1"/>
  <c r="L108" i="1" s="1"/>
  <c r="J91" i="1"/>
  <c r="J108" i="1" s="1"/>
  <c r="C92" i="1"/>
  <c r="C109" i="1" s="1"/>
  <c r="C93" i="1"/>
  <c r="C110" i="1" s="1"/>
  <c r="C94" i="1"/>
  <c r="C111" i="1" s="1"/>
  <c r="C95" i="1"/>
  <c r="C112" i="1" s="1"/>
  <c r="C96" i="1"/>
  <c r="C113" i="1" s="1"/>
  <c r="C97" i="1"/>
  <c r="C114" i="1" s="1"/>
  <c r="C98" i="1"/>
  <c r="C115" i="1" s="1"/>
  <c r="C99" i="1"/>
  <c r="C116" i="1" s="1"/>
  <c r="C100" i="1"/>
  <c r="C117" i="1" s="1"/>
  <c r="C101" i="1"/>
  <c r="C118" i="1" s="1"/>
  <c r="C102" i="1"/>
  <c r="C119" i="1" s="1"/>
  <c r="C91" i="1"/>
  <c r="C108" i="1" s="1"/>
  <c r="S108" i="1" l="1"/>
  <c r="S112" i="1"/>
  <c r="S109" i="1"/>
  <c r="S121" i="1"/>
  <c r="S115" i="1"/>
  <c r="S113" i="1"/>
  <c r="S117" i="1"/>
  <c r="S116" i="1"/>
  <c r="S119" i="1"/>
  <c r="S118" i="1"/>
  <c r="S120" i="1"/>
  <c r="S114" i="1"/>
  <c r="S107" i="1"/>
  <c r="S111" i="1"/>
  <c r="F20" i="1"/>
  <c r="F19" i="1"/>
  <c r="G18" i="1"/>
  <c r="G17" i="1"/>
  <c r="F16" i="1"/>
  <c r="F15" i="1"/>
  <c r="S110" i="1"/>
  <c r="G14" i="1"/>
  <c r="F13" i="1"/>
  <c r="F12" i="1"/>
  <c r="F11" i="1"/>
  <c r="F10" i="1"/>
  <c r="F9" i="1"/>
</calcChain>
</file>

<file path=xl/sharedStrings.xml><?xml version="1.0" encoding="utf-8"?>
<sst xmlns="http://schemas.openxmlformats.org/spreadsheetml/2006/main" count="192" uniqueCount="71">
  <si>
    <t>Step 1</t>
  </si>
  <si>
    <t>Read</t>
  </si>
  <si>
    <t>Valve</t>
  </si>
  <si>
    <t>Heat 1</t>
  </si>
  <si>
    <t>Heat 2</t>
  </si>
  <si>
    <t>Relay 1</t>
  </si>
  <si>
    <t>Relay 2</t>
  </si>
  <si>
    <t>RPM</t>
  </si>
  <si>
    <t>CH 1</t>
  </si>
  <si>
    <t>CH 2</t>
  </si>
  <si>
    <t>CH 3</t>
  </si>
  <si>
    <t>CH4</t>
  </si>
  <si>
    <t>STEP CONTROL MODULE</t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</si>
  <si>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</si>
  <si>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</si>
  <si>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</si>
  <si>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</si>
  <si>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</si>
  <si>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</si>
  <si>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</si>
  <si>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</si>
  <si>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</si>
  <si>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Step 11</t>
  </si>
  <si>
    <t>Step 12</t>
  </si>
  <si>
    <t>Peristaltic Pump</t>
  </si>
  <si>
    <t>CCW</t>
  </si>
  <si>
    <t>Time / s</t>
  </si>
  <si>
    <t>.</t>
  </si>
  <si>
    <t>Div:</t>
  </si>
  <si>
    <t xml:space="preserve">Send: </t>
  </si>
  <si>
    <t xml:space="preserve">Save: </t>
  </si>
  <si>
    <t>Canais</t>
  </si>
  <si>
    <t>ID da Fonte de Dados</t>
  </si>
  <si>
    <t>Intervalo de Dados (ms)</t>
  </si>
  <si>
    <t>Taxa de Transmissão</t>
  </si>
  <si>
    <t>Arduino Mega 2560</t>
  </si>
  <si>
    <t>Este manifesto foi gerado para o dispositivo conectado. Você pode editar o nome do dispositivo e os dados do canal aqui, e os Dados na planilha serão atualizados.</t>
  </si>
  <si>
    <t>ID</t>
  </si>
  <si>
    <t>Nome</t>
  </si>
  <si>
    <t>Descrição</t>
  </si>
  <si>
    <t>Unidade de Medida</t>
  </si>
  <si>
    <t>Ativo</t>
  </si>
  <si>
    <t>CH1</t>
  </si>
  <si>
    <t>ü</t>
  </si>
  <si>
    <t>CH2</t>
  </si>
  <si>
    <t>CH3</t>
  </si>
  <si>
    <t>CH5</t>
  </si>
  <si>
    <t>CH6</t>
  </si>
  <si>
    <t>CH7</t>
  </si>
  <si>
    <t>CH8</t>
  </si>
  <si>
    <t>CH9</t>
  </si>
  <si>
    <t>CH10</t>
  </si>
  <si>
    <t>Configurações de Pasta de Trabalho</t>
  </si>
  <si>
    <t>As configurações abaixo afetarão o modo como os dados são lidos na pasta de trabalho atual da fontes de dados. Limpe o conteúdo de um campo para reverter para a configuração padrão.</t>
  </si>
  <si>
    <t>Intervalo de dados (ms)</t>
  </si>
  <si>
    <t>Linhas de dados</t>
  </si>
  <si>
    <t>Canais de dados</t>
  </si>
  <si>
    <t>Orientação de dados</t>
  </si>
  <si>
    <t>Mais recente por último</t>
  </si>
  <si>
    <r>
      <t>Aviso:</t>
    </r>
    <r>
      <rPr>
        <sz val="11"/>
        <color theme="1"/>
        <rFont val="Segoe UI Light"/>
        <family val="2"/>
      </rPr>
      <t xml:space="preserve"> a alteração das configurações pode resultar na perda de conteúdo e/ou formatação personalizada nas planilhas de Dados de Entrada e Dados de Saída. Sempre salve antes de alterar os valores.</t>
    </r>
  </si>
  <si>
    <t>Dados de Saída (para o Dispositivo)</t>
  </si>
  <si>
    <t>Dados inseridos nos canais abaixo serão enviados para o dispositivo conectado no momento como uma sequência de caracteres delimitada por vírgula.</t>
  </si>
  <si>
    <t>Dados Em (De Arduino Mega 2560 (COM8))</t>
  </si>
  <si>
    <t>Os dados provenientes da fonte de dados atual serão exibidos abaixo conforme sejam recebidos.</t>
  </si>
  <si>
    <t>Dados Atuais</t>
  </si>
  <si>
    <t>TIME</t>
  </si>
  <si>
    <t>Dados Históricos</t>
  </si>
  <si>
    <t xml:space="preserve"> </t>
  </si>
  <si>
    <t>Max. time: 255 s | Max. RPM = 100 | CCW = Couterclockwise</t>
  </si>
  <si>
    <t>79BCDF0A-92E6-41CF-B8A0-09952ADC6149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</si>
  <si>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79BCDF0A-92E6-41CF-B8A0-09952ADC6149","IsGenerated":true,"Name":"Arduino Mega 2560","Version":null,"BaudRate":9600}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</si>
</sst>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6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0" tint="-0.249977111117893"/>
      <name val="Times New Roman"/>
      <family val="1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b/>
      <sz val="20"/>
      <color theme="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theme="1" tint="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2" fillId="4" borderId="1" xfId="0" applyFont="1" applyFill="1" applyBorder="1" applyAlignment="1" applyProtection="1">
      <alignment horizontal="center" vertical="center"/>
      <protection locked="0"/>
    </xf>
    <xf numFmtId="0" fontId="2" fillId="6" borderId="0" xfId="0" applyFon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6" borderId="0" xfId="0" applyFont="1" applyFill="1" applyBorder="1" applyAlignment="1" applyProtection="1">
      <alignment vertical="center"/>
    </xf>
    <xf numFmtId="0" fontId="7" fillId="6" borderId="0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</xf>
    <xf numFmtId="0" fontId="5" fillId="3" borderId="3" xfId="0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center" vertical="center"/>
    </xf>
    <xf numFmtId="0" fontId="9" fillId="2" borderId="0" xfId="0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/>
    </xf>
    <xf numFmtId="0" fontId="2" fillId="2" borderId="7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0" fontId="0" fillId="7" borderId="0" xfId="0" applyFill="1" applyProtection="1">
      <protection locked="0"/>
    </xf>
    <xf numFmtId="0" fontId="12" fillId="7" borderId="0" xfId="0" applyFont="1" applyFill="1" applyAlignment="1" applyProtection="1">
      <alignment horizontal="left"/>
    </xf>
    <xf numFmtId="0" fontId="18" fillId="10" borderId="0" xfId="0" applyFont="1" applyFill="1" applyAlignment="1" applyProtection="1">
      <alignment horizontal="left" vertical="center" indent="1"/>
      <protection locked="0"/>
    </xf>
    <xf numFmtId="0" fontId="19" fillId="11" borderId="14" xfId="0" applyFont="1" applyFill="1" applyBorder="1" applyAlignment="1" applyProtection="1">
      <alignment horizontal="left" vertical="center" indent="1"/>
      <protection locked="0"/>
    </xf>
    <xf numFmtId="0" fontId="14" fillId="11" borderId="0" xfId="0" applyFont="1" applyFill="1" applyBorder="1" applyAlignment="1" applyProtection="1">
      <alignment horizontal="left" vertical="center" indent="1"/>
      <protection locked="0"/>
    </xf>
    <xf numFmtId="0" fontId="14" fillId="11" borderId="15" xfId="0" applyFont="1" applyFill="1" applyBorder="1" applyAlignment="1" applyProtection="1">
      <alignment horizontal="left" vertical="center" indent="1"/>
      <protection locked="0"/>
    </xf>
    <xf numFmtId="0" fontId="19" fillId="11" borderId="16" xfId="0" applyFont="1" applyFill="1" applyBorder="1" applyAlignment="1" applyProtection="1">
      <alignment horizontal="left" vertical="center" indent="1"/>
      <protection locked="0"/>
    </xf>
    <xf numFmtId="0" fontId="14" fillId="11" borderId="17" xfId="0" applyFont="1" applyFill="1" applyBorder="1" applyAlignment="1" applyProtection="1">
      <alignment horizontal="left" vertical="center" indent="1"/>
      <protection locked="0"/>
    </xf>
    <xf numFmtId="0" fontId="14" fillId="11" borderId="18" xfId="0" applyFont="1" applyFill="1" applyBorder="1" applyAlignment="1" applyProtection="1">
      <alignment horizontal="left" vertical="center" indent="1"/>
      <protection locked="0"/>
    </xf>
    <xf numFmtId="0" fontId="14" fillId="11" borderId="19" xfId="0" applyFont="1" applyFill="1" applyBorder="1" applyAlignment="1" applyProtection="1">
      <alignment horizontal="left" vertical="center" indent="1"/>
      <protection locked="0"/>
    </xf>
    <xf numFmtId="0" fontId="14" fillId="11" borderId="21" xfId="0" applyFont="1" applyFill="1" applyBorder="1" applyAlignment="1" applyProtection="1">
      <alignment horizontal="left" vertical="center" indent="1"/>
      <protection locked="0"/>
    </xf>
    <xf numFmtId="0" fontId="19" fillId="11" borderId="20" xfId="0" applyFont="1" applyFill="1" applyBorder="1" applyAlignment="1" applyProtection="1">
      <alignment horizontal="left" vertical="center" indent="1"/>
      <protection locked="0"/>
    </xf>
    <xf numFmtId="0" fontId="0" fillId="12" borderId="0" xfId="0" applyFill="1" applyProtection="1">
      <protection locked="0"/>
    </xf>
    <xf numFmtId="0" fontId="13" fillId="12" borderId="0" xfId="0" applyFont="1" applyFill="1" applyAlignment="1" applyProtection="1">
      <alignment horizontal="left" vertical="center" indent="1"/>
    </xf>
    <xf numFmtId="0" fontId="20" fillId="12" borderId="0" xfId="0" applyFont="1" applyFill="1" applyAlignment="1" applyProtection="1">
      <alignment horizontal="left" vertical="center" indent="1"/>
      <protection locked="0"/>
    </xf>
    <xf numFmtId="0" fontId="14" fillId="7" borderId="22" xfId="0" applyFont="1" applyFill="1" applyBorder="1" applyAlignment="1" applyProtection="1">
      <alignment horizontal="left" vertical="center" indent="1"/>
      <protection locked="0"/>
    </xf>
    <xf numFmtId="0" fontId="22" fillId="13" borderId="23" xfId="0" applyFont="1" applyFill="1" applyBorder="1" applyAlignment="1" applyProtection="1">
      <alignment horizontal="center" vertical="center"/>
    </xf>
    <xf numFmtId="0" fontId="22" fillId="13" borderId="24" xfId="0" applyFont="1" applyFill="1" applyBorder="1" applyAlignment="1" applyProtection="1">
      <alignment horizontal="center" vertical="center"/>
    </xf>
    <xf numFmtId="0" fontId="23" fillId="14" borderId="25" xfId="0" applyFont="1" applyFill="1" applyBorder="1" applyAlignment="1" applyProtection="1">
      <alignment horizontal="right" vertical="center" indent="1"/>
      <protection locked="0"/>
    </xf>
    <xf numFmtId="0" fontId="18" fillId="15" borderId="0" xfId="0" applyFont="1" applyFill="1" applyAlignment="1">
      <alignment horizontal="center" vertical="center"/>
    </xf>
    <xf numFmtId="0" fontId="23" fillId="16" borderId="26" xfId="0" applyFont="1" applyFill="1" applyBorder="1" applyAlignment="1" applyProtection="1">
      <alignment horizontal="right" vertical="center" indent="1"/>
      <protection locked="0"/>
    </xf>
    <xf numFmtId="164" fontId="23" fillId="16" borderId="26" xfId="0" applyNumberFormat="1" applyFont="1" applyFill="1" applyBorder="1" applyAlignment="1" applyProtection="1">
      <alignment horizontal="left" vertical="center" indent="1"/>
      <protection locked="0"/>
    </xf>
    <xf numFmtId="0" fontId="23" fillId="17" borderId="28" xfId="0" applyFont="1" applyFill="1" applyBorder="1" applyAlignment="1" applyProtection="1">
      <alignment horizontal="right" vertical="center" indent="1"/>
      <protection locked="0"/>
    </xf>
    <xf numFmtId="0" fontId="23" fillId="17" borderId="29" xfId="0" applyFont="1" applyFill="1" applyBorder="1" applyAlignment="1" applyProtection="1">
      <alignment horizontal="right" vertical="center" indent="1"/>
      <protection locked="0"/>
    </xf>
    <xf numFmtId="164" fontId="23" fillId="17" borderId="28" xfId="0" applyNumberFormat="1" applyFont="1" applyFill="1" applyBorder="1" applyAlignment="1" applyProtection="1">
      <alignment horizontal="left" vertical="center" indent="1"/>
      <protection locked="0"/>
    </xf>
    <xf numFmtId="164" fontId="23" fillId="17" borderId="29" xfId="0" applyNumberFormat="1" applyFont="1" applyFill="1" applyBorder="1" applyAlignment="1" applyProtection="1">
      <alignment horizontal="left" vertical="center" indent="1"/>
      <protection locked="0"/>
    </xf>
    <xf numFmtId="164" fontId="23" fillId="18" borderId="29" xfId="0" applyNumberFormat="1" applyFont="1" applyFill="1" applyBorder="1" applyAlignment="1" applyProtection="1">
      <alignment horizontal="left" vertical="center" indent="1"/>
      <protection locked="0"/>
    </xf>
    <xf numFmtId="0" fontId="23" fillId="18" borderId="29" xfId="0" applyFont="1" applyFill="1" applyBorder="1" applyAlignment="1" applyProtection="1">
      <alignment horizontal="right" vertical="center" indent="1"/>
      <protection locked="0"/>
    </xf>
    <xf numFmtId="0" fontId="5" fillId="3" borderId="2" xfId="0" applyFont="1" applyFill="1" applyBorder="1" applyAlignment="1" applyProtection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</xf>
    <xf numFmtId="0" fontId="9" fillId="2" borderId="9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left" vertical="center"/>
      <protection locked="0"/>
    </xf>
    <xf numFmtId="0" fontId="9" fillId="19" borderId="11" xfId="0" applyFont="1" applyFill="1" applyBorder="1" applyAlignment="1" applyProtection="1">
      <alignment vertical="center"/>
    </xf>
    <xf numFmtId="0" fontId="9" fillId="19" borderId="30" xfId="0" applyFont="1" applyFill="1" applyBorder="1" applyAlignment="1" applyProtection="1">
      <alignment vertical="center"/>
    </xf>
    <xf numFmtId="0" fontId="9" fillId="19" borderId="0" xfId="0" applyFont="1" applyFill="1" applyBorder="1" applyAlignment="1" applyProtection="1">
      <alignment vertical="center"/>
    </xf>
    <xf numFmtId="0" fontId="9" fillId="19" borderId="8" xfId="0" applyFont="1" applyFill="1" applyBorder="1" applyAlignment="1" applyProtection="1">
      <alignment vertical="center"/>
    </xf>
    <xf numFmtId="0" fontId="9" fillId="19" borderId="31" xfId="0" applyFont="1" applyFill="1" applyBorder="1" applyAlignment="1" applyProtection="1">
      <alignment vertical="center"/>
    </xf>
    <xf numFmtId="0" fontId="9" fillId="19" borderId="32" xfId="0" applyFont="1" applyFill="1" applyBorder="1" applyAlignment="1" applyProtection="1">
      <alignment vertical="center"/>
    </xf>
    <xf numFmtId="0" fontId="9" fillId="19" borderId="12" xfId="0" applyFont="1" applyFill="1" applyBorder="1" applyAlignment="1" applyProtection="1">
      <alignment vertical="center"/>
    </xf>
    <xf numFmtId="0" fontId="9" fillId="19" borderId="9" xfId="0" applyFont="1" applyFill="1" applyBorder="1" applyAlignment="1" applyProtection="1">
      <alignment vertical="center"/>
    </xf>
    <xf numFmtId="0" fontId="9" fillId="19" borderId="10" xfId="0" applyFont="1" applyFill="1" applyBorder="1" applyAlignment="1" applyProtection="1">
      <alignment vertical="center"/>
    </xf>
    <xf numFmtId="0" fontId="14" fillId="8" borderId="0" xfId="0" applyFont="1" applyFill="1" applyAlignment="1" applyProtection="1">
      <alignment horizontal="left" vertical="center" indent="1"/>
    </xf>
    <xf numFmtId="0" fontId="5" fillId="3" borderId="5" xfId="0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left" vertical="center"/>
      <protection locked="0"/>
    </xf>
    <xf numFmtId="0" fontId="25" fillId="19" borderId="31" xfId="0" applyFont="1" applyFill="1" applyBorder="1" applyAlignment="1" applyProtection="1">
      <alignment horizontal="center" vertical="center"/>
    </xf>
    <xf numFmtId="0" fontId="25" fillId="19" borderId="11" xfId="0" applyFont="1" applyFill="1" applyBorder="1" applyAlignment="1" applyProtection="1">
      <alignment horizontal="center" vertical="center"/>
    </xf>
    <xf numFmtId="0" fontId="25" fillId="19" borderId="12" xfId="0" applyFont="1" applyFill="1" applyBorder="1" applyAlignment="1" applyProtection="1">
      <alignment horizontal="center" vertical="center"/>
    </xf>
    <xf numFmtId="0" fontId="25" fillId="19" borderId="30" xfId="0" applyFont="1" applyFill="1" applyBorder="1" applyAlignment="1" applyProtection="1">
      <alignment horizontal="center" vertical="center"/>
    </xf>
    <xf numFmtId="0" fontId="25" fillId="19" borderId="0" xfId="0" applyFont="1" applyFill="1" applyBorder="1" applyAlignment="1" applyProtection="1">
      <alignment horizontal="center" vertical="center"/>
    </xf>
    <xf numFmtId="0" fontId="25" fillId="19" borderId="9" xfId="0" applyFont="1" applyFill="1" applyBorder="1" applyAlignment="1" applyProtection="1">
      <alignment horizontal="center" vertical="center"/>
    </xf>
    <xf numFmtId="0" fontId="25" fillId="19" borderId="32" xfId="0" applyFont="1" applyFill="1" applyBorder="1" applyAlignment="1" applyProtection="1">
      <alignment horizontal="center" vertical="center"/>
    </xf>
    <xf numFmtId="0" fontId="25" fillId="19" borderId="8" xfId="0" applyFont="1" applyFill="1" applyBorder="1" applyAlignment="1" applyProtection="1">
      <alignment horizontal="center" vertical="center"/>
    </xf>
    <xf numFmtId="0" fontId="25" fillId="19" borderId="10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/>
    </xf>
    <xf numFmtId="0" fontId="15" fillId="7" borderId="0" xfId="0" applyFont="1" applyFill="1" applyAlignment="1">
      <alignment horizontal="left" indent="1"/>
    </xf>
    <xf numFmtId="0" fontId="16" fillId="7" borderId="0" xfId="0" applyFont="1" applyFill="1" applyAlignment="1">
      <alignment horizontal="left" vertical="top" wrapText="1" indent="1"/>
    </xf>
    <xf numFmtId="0" fontId="24" fillId="7" borderId="0" xfId="0" applyFont="1" applyFill="1" applyAlignment="1" applyProtection="1">
      <alignment horizontal="left" indent="1"/>
    </xf>
    <xf numFmtId="0" fontId="24" fillId="7" borderId="27" xfId="0" applyFont="1" applyFill="1" applyBorder="1" applyAlignment="1" applyProtection="1">
      <alignment horizontal="left" indent="1"/>
    </xf>
    <xf numFmtId="0" fontId="15" fillId="0" borderId="0" xfId="0" applyFont="1" applyAlignment="1">
      <alignment horizontal="left" indent="1"/>
    </xf>
    <xf numFmtId="0" fontId="16" fillId="0" borderId="0" xfId="0" applyFont="1" applyAlignment="1">
      <alignment horizontal="left" vertical="top" wrapText="1" indent="1"/>
    </xf>
    <xf numFmtId="0" fontId="15" fillId="12" borderId="0" xfId="0" applyFont="1" applyFill="1" applyAlignment="1" applyProtection="1">
      <alignment horizontal="left" indent="1"/>
      <protection locked="0"/>
    </xf>
    <xf numFmtId="0" fontId="16" fillId="12" borderId="0" xfId="0" applyFont="1" applyFill="1" applyAlignment="1" applyProtection="1">
      <alignment horizontal="left" vertical="top" wrapText="1" indent="1"/>
      <protection locked="0"/>
    </xf>
    <xf numFmtId="0" fontId="21" fillId="12" borderId="0" xfId="0" applyFont="1" applyFill="1" applyAlignment="1" applyProtection="1">
      <alignment horizontal="left" vertical="center" wrapText="1" indent="1"/>
      <protection locked="0"/>
    </xf>
    <xf numFmtId="0" fontId="13" fillId="7" borderId="0" xfId="0" applyFont="1" applyFill="1" applyAlignment="1" applyProtection="1">
      <alignment horizontal="left"/>
    </xf>
    <xf numFmtId="0" fontId="14" fillId="8" borderId="0" xfId="0" applyFont="1" applyFill="1" applyAlignment="1" applyProtection="1">
      <alignment horizontal="left" vertical="center" indent="1"/>
    </xf>
    <xf numFmtId="0" fontId="15" fillId="7" borderId="0" xfId="0" applyFont="1" applyFill="1" applyAlignment="1" applyProtection="1">
      <alignment horizontal="left" indent="1"/>
      <protection locked="0"/>
    </xf>
    <xf numFmtId="0" fontId="16" fillId="7" borderId="0" xfId="0" applyFont="1" applyFill="1" applyAlignment="1" applyProtection="1">
      <alignment horizontal="left" vertical="top" wrapText="1" indent="1"/>
      <protection locked="0"/>
    </xf>
    <xf numFmtId="0" fontId="17" fillId="9" borderId="0" xfId="0" applyFont="1" applyFill="1" applyAlignment="1" applyProtection="1">
      <alignment horizontal="left" vertical="center" indent="1"/>
      <protection locked="0"/>
    </xf>
    <xf numFmtId="0" fontId="17" fillId="9" borderId="0" xfId="0" applyFont="1" applyFill="1" applyBorder="1" applyAlignment="1" applyProtection="1">
      <alignment horizontal="left" vertical="center" indent="1"/>
      <protection locked="0"/>
    </xf>
    <xf numFmtId="0" fontId="17" fillId="9" borderId="13" xfId="0" applyFont="1" applyFill="1" applyBorder="1" applyAlignment="1" applyProtection="1">
      <alignment horizontal="left" vertical="center" indent="1"/>
      <protection locked="0"/>
    </xf>
    <xf numFmtId="0" fontId="11" fillId="7" borderId="0" xfId="0" applyFont="1" applyFill="1" applyAlignment="1" applyProtection="1">
      <alignment horizontal="left" indent="1"/>
      <protection locked="0"/>
    </xf>
  </cellXfs>
  <cellStyles count="1">
    <cellStyle name="Normal" xfId="0" builtinId="0"/>
  </cellStyles>
  <dxfs count="33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color theme="0" tint="-0.2499465926084170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963C0B78-53D4-40AA-86A3-5A9027E60234}"/>
  </tableStyles>
  <colors>
    <mruColors>
      <color rgb="FF01F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STEP!$D$91" lockText="1" noThreeD="1"/>
</file>

<file path=xl/ctrlProps/ctrlProp2.xml><?xml version="1.0" encoding="utf-8"?>
<formControlPr xmlns="http://schemas.microsoft.com/office/spreadsheetml/2009/9/main" objectType="CheckBox" fmlaLink="STEP!$E$91" lockText="1" noThreeD="1"/>
</file>

<file path=xl/ctrlProps/ctrlProp3.xml><?xml version="1.0" encoding="utf-8"?>
<formControlPr xmlns="http://schemas.microsoft.com/office/spreadsheetml/2009/9/main" objectType="CheckBox" fmlaLink="STEP!$F$91" lockText="1" noThreeD="1"/>
</file>

<file path=xl/ctrlProps/ctrlProp4.xml><?xml version="1.0" encoding="utf-8"?>
<formControlPr xmlns="http://schemas.microsoft.com/office/spreadsheetml/2009/9/main" objectType="CheckBox" fmlaLink="STEP!$G$91" lockText="1" noThreeD="1"/>
</file>

<file path=xl/ctrlProps/ctrlProp5.xml><?xml version="1.0" encoding="utf-8"?>
<formControlPr xmlns="http://schemas.microsoft.com/office/spreadsheetml/2009/9/main" objectType="CheckBox" fmlaLink="STEP!$H$91" lockText="1" noThreeD="1"/>
</file>

<file path=xl/ctrlProps/ctrlProp6.xml><?xml version="1.0" encoding="utf-8"?>
<formControlPr xmlns="http://schemas.microsoft.com/office/spreadsheetml/2009/9/main" objectType="CheckBox" fmlaLink="STEP!$I$91" lockText="1" noThreeD="1"/>
</file>

<file path=xl/ctrlProps/ctrlProp7.xml><?xml version="1.0" encoding="utf-8"?>
<formControlPr xmlns="http://schemas.microsoft.com/office/spreadsheetml/2009/9/main" objectType="CheckBox" fmlaLink="STEP!$D$92" lockText="1" noThreeD="1"/>
</file>

<file path=xl/ctrlProps/ctrlProp8.xml><?xml version="1.0" encoding="utf-8"?>
<formControlPr xmlns="http://schemas.microsoft.com/office/spreadsheetml/2009/9/main" objectType="CheckBox" fmlaLink="STEP!$E$92" lockText="1" noThreeD="1"/>
</file>

<file path=xl/ctrlProps/ctrlProp9.xml><?xml version="1.0" encoding="utf-8"?>
<formControlPr xmlns="http://schemas.microsoft.com/office/spreadsheetml/2009/9/main" objectType="CheckBox" fmlaLink="STEP!$F$92" lockText="1" noThreeD="1"/>
</file>

<file path=xl/ctrlProps/ctrlProp10.xml><?xml version="1.0" encoding="utf-8"?>
<formControlPr xmlns="http://schemas.microsoft.com/office/spreadsheetml/2009/9/main" objectType="CheckBox" fmlaLink="STEP!$G$92" lockText="1" noThreeD="1"/>
</file>

<file path=xl/ctrlProps/ctrlProp11.xml><?xml version="1.0" encoding="utf-8"?>
<formControlPr xmlns="http://schemas.microsoft.com/office/spreadsheetml/2009/9/main" objectType="CheckBox" fmlaLink="STEP!$H$92" lockText="1" noThreeD="1"/>
</file>

<file path=xl/ctrlProps/ctrlProp12.xml><?xml version="1.0" encoding="utf-8"?>
<formControlPr xmlns="http://schemas.microsoft.com/office/spreadsheetml/2009/9/main" objectType="CheckBox" fmlaLink="STEP!$I$92" lockText="1" noThreeD="1"/>
</file>

<file path=xl/ctrlProps/ctrlProp13.xml><?xml version="1.0" encoding="utf-8"?>
<formControlPr xmlns="http://schemas.microsoft.com/office/spreadsheetml/2009/9/main" objectType="CheckBox" fmlaLink="STEP!$D$93" lockText="1" noThreeD="1"/>
</file>

<file path=xl/ctrlProps/ctrlProp14.xml><?xml version="1.0" encoding="utf-8"?>
<formControlPr xmlns="http://schemas.microsoft.com/office/spreadsheetml/2009/9/main" objectType="CheckBox" fmlaLink="STEP!$E$93" lockText="1" noThreeD="1"/>
</file>

<file path=xl/ctrlProps/ctrlProp15.xml><?xml version="1.0" encoding="utf-8"?>
<formControlPr xmlns="http://schemas.microsoft.com/office/spreadsheetml/2009/9/main" objectType="CheckBox" fmlaLink="STEP!$F$93" lockText="1" noThreeD="1"/>
</file>

<file path=xl/ctrlProps/ctrlProp16.xml><?xml version="1.0" encoding="utf-8"?>
<formControlPr xmlns="http://schemas.microsoft.com/office/spreadsheetml/2009/9/main" objectType="CheckBox" fmlaLink="STEP!$G$93" lockText="1" noThreeD="1"/>
</file>

<file path=xl/ctrlProps/ctrlProp17.xml><?xml version="1.0" encoding="utf-8"?>
<formControlPr xmlns="http://schemas.microsoft.com/office/spreadsheetml/2009/9/main" objectType="CheckBox" fmlaLink="STEP!$H$93" lockText="1" noThreeD="1"/>
</file>

<file path=xl/ctrlProps/ctrlProp18.xml><?xml version="1.0" encoding="utf-8"?>
<formControlPr xmlns="http://schemas.microsoft.com/office/spreadsheetml/2009/9/main" objectType="CheckBox" fmlaLink="STEP!$I$93" lockText="1" noThreeD="1"/>
</file>

<file path=xl/ctrlProps/ctrlProp19.xml><?xml version="1.0" encoding="utf-8"?>
<formControlPr xmlns="http://schemas.microsoft.com/office/spreadsheetml/2009/9/main" objectType="CheckBox" fmlaLink="STEP!$D$94" lockText="1" noThreeD="1"/>
</file>

<file path=xl/ctrlProps/ctrlProp20.xml><?xml version="1.0" encoding="utf-8"?>
<formControlPr xmlns="http://schemas.microsoft.com/office/spreadsheetml/2009/9/main" objectType="CheckBox" checked="Checked" fmlaLink="STEP!$E$94" lockText="1" noThreeD="1"/>
</file>

<file path=xl/ctrlProps/ctrlProp21.xml><?xml version="1.0" encoding="utf-8"?>
<formControlPr xmlns="http://schemas.microsoft.com/office/spreadsheetml/2009/9/main" objectType="CheckBox" fmlaLink="STEP!$F$94" lockText="1" noThreeD="1"/>
</file>

<file path=xl/ctrlProps/ctrlProp22.xml><?xml version="1.0" encoding="utf-8"?>
<formControlPr xmlns="http://schemas.microsoft.com/office/spreadsheetml/2009/9/main" objectType="CheckBox" fmlaLink="STEP!$G$94" lockText="1" noThreeD="1"/>
</file>

<file path=xl/ctrlProps/ctrlProp23.xml><?xml version="1.0" encoding="utf-8"?>
<formControlPr xmlns="http://schemas.microsoft.com/office/spreadsheetml/2009/9/main" objectType="CheckBox" fmlaLink="STEP!$H$94" lockText="1" noThreeD="1"/>
</file>

<file path=xl/ctrlProps/ctrlProp24.xml><?xml version="1.0" encoding="utf-8"?>
<formControlPr xmlns="http://schemas.microsoft.com/office/spreadsheetml/2009/9/main" objectType="CheckBox" fmlaLink="STEP!$I$94" lockText="1" noThreeD="1"/>
</file>

<file path=xl/ctrlProps/ctrlProp25.xml><?xml version="1.0" encoding="utf-8"?>
<formControlPr xmlns="http://schemas.microsoft.com/office/spreadsheetml/2009/9/main" objectType="CheckBox" checked="Checked" fmlaLink="STEP!$D$95" lockText="1" noThreeD="1"/>
</file>

<file path=xl/ctrlProps/ctrlProp26.xml><?xml version="1.0" encoding="utf-8"?>
<formControlPr xmlns="http://schemas.microsoft.com/office/spreadsheetml/2009/9/main" objectType="CheckBox" checked="Checked" fmlaLink="STEP!$E$95" lockText="1" noThreeD="1"/>
</file>

<file path=xl/ctrlProps/ctrlProp27.xml><?xml version="1.0" encoding="utf-8"?>
<formControlPr xmlns="http://schemas.microsoft.com/office/spreadsheetml/2009/9/main" objectType="CheckBox" checked="Checked" fmlaLink="STEP!$F$95" lockText="1" noThreeD="1"/>
</file>

<file path=xl/ctrlProps/ctrlProp28.xml><?xml version="1.0" encoding="utf-8"?>
<formControlPr xmlns="http://schemas.microsoft.com/office/spreadsheetml/2009/9/main" objectType="CheckBox" fmlaLink="STEP!$G$95" lockText="1" noThreeD="1"/>
</file>

<file path=xl/ctrlProps/ctrlProp29.xml><?xml version="1.0" encoding="utf-8"?>
<formControlPr xmlns="http://schemas.microsoft.com/office/spreadsheetml/2009/9/main" objectType="CheckBox" fmlaLink="STEP!$H$95" lockText="1" noThreeD="1"/>
</file>

<file path=xl/ctrlProps/ctrlProp30.xml><?xml version="1.0" encoding="utf-8"?>
<formControlPr xmlns="http://schemas.microsoft.com/office/spreadsheetml/2009/9/main" objectType="CheckBox" fmlaLink="STEP!$I$95" lockText="1" noThreeD="1"/>
</file>

<file path=xl/ctrlProps/ctrlProp31.xml><?xml version="1.0" encoding="utf-8"?>
<formControlPr xmlns="http://schemas.microsoft.com/office/spreadsheetml/2009/9/main" objectType="CheckBox" fmlaLink="STEP!$D$96" lockText="1" noThreeD="1"/>
</file>

<file path=xl/ctrlProps/ctrlProp32.xml><?xml version="1.0" encoding="utf-8"?>
<formControlPr xmlns="http://schemas.microsoft.com/office/spreadsheetml/2009/9/main" objectType="CheckBox" checked="Checked" fmlaLink="STEP!$E$96" lockText="1" noThreeD="1"/>
</file>

<file path=xl/ctrlProps/ctrlProp33.xml><?xml version="1.0" encoding="utf-8"?>
<formControlPr xmlns="http://schemas.microsoft.com/office/spreadsheetml/2009/9/main" objectType="CheckBox" checked="Checked" fmlaLink="STEP!$F$96" lockText="1" noThreeD="1"/>
</file>

<file path=xl/ctrlProps/ctrlProp34.xml><?xml version="1.0" encoding="utf-8"?>
<formControlPr xmlns="http://schemas.microsoft.com/office/spreadsheetml/2009/9/main" objectType="CheckBox" fmlaLink="STEP!$G$96" lockText="1" noThreeD="1"/>
</file>

<file path=xl/ctrlProps/ctrlProp35.xml><?xml version="1.0" encoding="utf-8"?>
<formControlPr xmlns="http://schemas.microsoft.com/office/spreadsheetml/2009/9/main" objectType="CheckBox" fmlaLink="STEP!$H$96" lockText="1" noThreeD="1"/>
</file>

<file path=xl/ctrlProps/ctrlProp36.xml><?xml version="1.0" encoding="utf-8"?>
<formControlPr xmlns="http://schemas.microsoft.com/office/spreadsheetml/2009/9/main" objectType="CheckBox" fmlaLink="STEP!$I$96" lockText="1" noThreeD="1"/>
</file>

<file path=xl/ctrlProps/ctrlProp37.xml><?xml version="1.0" encoding="utf-8"?>
<formControlPr xmlns="http://schemas.microsoft.com/office/spreadsheetml/2009/9/main" objectType="CheckBox" fmlaLink="STEP!$D$97" lockText="1" noThreeD="1"/>
</file>

<file path=xl/ctrlProps/ctrlProp38.xml><?xml version="1.0" encoding="utf-8"?>
<formControlPr xmlns="http://schemas.microsoft.com/office/spreadsheetml/2009/9/main" objectType="CheckBox" checked="Checked" fmlaLink="STEP!$E$97" lockText="1" noThreeD="1"/>
</file>

<file path=xl/ctrlProps/ctrlProp39.xml><?xml version="1.0" encoding="utf-8"?>
<formControlPr xmlns="http://schemas.microsoft.com/office/spreadsheetml/2009/9/main" objectType="CheckBox" checked="Checked" fmlaLink="STEP!$F$97" lockText="1" noThreeD="1"/>
</file>

<file path=xl/ctrlProps/ctrlProp40.xml><?xml version="1.0" encoding="utf-8"?>
<formControlPr xmlns="http://schemas.microsoft.com/office/spreadsheetml/2009/9/main" objectType="CheckBox" fmlaLink="STEP!$G$97" lockText="1" noThreeD="1"/>
</file>

<file path=xl/ctrlProps/ctrlProp41.xml><?xml version="1.0" encoding="utf-8"?>
<formControlPr xmlns="http://schemas.microsoft.com/office/spreadsheetml/2009/9/main" objectType="CheckBox" fmlaLink="STEP!$H$97" lockText="1" noThreeD="1"/>
</file>

<file path=xl/ctrlProps/ctrlProp42.xml><?xml version="1.0" encoding="utf-8"?>
<formControlPr xmlns="http://schemas.microsoft.com/office/spreadsheetml/2009/9/main" objectType="CheckBox" fmlaLink="STEP!$I$97" lockText="1" noThreeD="1"/>
</file>

<file path=xl/ctrlProps/ctrlProp43.xml><?xml version="1.0" encoding="utf-8"?>
<formControlPr xmlns="http://schemas.microsoft.com/office/spreadsheetml/2009/9/main" objectType="CheckBox" fmlaLink="STEP!$D$98" lockText="1" noThreeD="1"/>
</file>

<file path=xl/ctrlProps/ctrlProp44.xml><?xml version="1.0" encoding="utf-8"?>
<formControlPr xmlns="http://schemas.microsoft.com/office/spreadsheetml/2009/9/main" objectType="CheckBox" checked="Checked" fmlaLink="STEP!$E$98" lockText="1" noThreeD="1"/>
</file>

<file path=xl/ctrlProps/ctrlProp45.xml><?xml version="1.0" encoding="utf-8"?>
<formControlPr xmlns="http://schemas.microsoft.com/office/spreadsheetml/2009/9/main" objectType="CheckBox" checked="Checked" fmlaLink="STEP!$F$98" lockText="1" noThreeD="1"/>
</file>

<file path=xl/ctrlProps/ctrlProp46.xml><?xml version="1.0" encoding="utf-8"?>
<formControlPr xmlns="http://schemas.microsoft.com/office/spreadsheetml/2009/9/main" objectType="CheckBox" fmlaLink="STEP!$G$98" lockText="1" noThreeD="1"/>
</file>

<file path=xl/ctrlProps/ctrlProp47.xml><?xml version="1.0" encoding="utf-8"?>
<formControlPr xmlns="http://schemas.microsoft.com/office/spreadsheetml/2009/9/main" objectType="CheckBox" fmlaLink="STEP!$H$98" lockText="1" noThreeD="1"/>
</file>

<file path=xl/ctrlProps/ctrlProp48.xml><?xml version="1.0" encoding="utf-8"?>
<formControlPr xmlns="http://schemas.microsoft.com/office/spreadsheetml/2009/9/main" objectType="CheckBox" fmlaLink="STEP!$I$98" lockText="1" noThreeD="1"/>
</file>

<file path=xl/ctrlProps/ctrlProp49.xml><?xml version="1.0" encoding="utf-8"?>
<formControlPr xmlns="http://schemas.microsoft.com/office/spreadsheetml/2009/9/main" objectType="CheckBox" fmlaLink="STEP!$D$99" lockText="1" noThreeD="1"/>
</file>

<file path=xl/ctrlProps/ctrlProp50.xml><?xml version="1.0" encoding="utf-8"?>
<formControlPr xmlns="http://schemas.microsoft.com/office/spreadsheetml/2009/9/main" objectType="CheckBox" fmlaLink="STEP!$E$99" lockText="1" noThreeD="1"/>
</file>

<file path=xl/ctrlProps/ctrlProp51.xml><?xml version="1.0" encoding="utf-8"?>
<formControlPr xmlns="http://schemas.microsoft.com/office/spreadsheetml/2009/9/main" objectType="CheckBox" fmlaLink="STEP!$F$99" lockText="1" noThreeD="1"/>
</file>

<file path=xl/ctrlProps/ctrlProp52.xml><?xml version="1.0" encoding="utf-8"?>
<formControlPr xmlns="http://schemas.microsoft.com/office/spreadsheetml/2009/9/main" objectType="CheckBox" fmlaLink="STEP!$G$99" lockText="1" noThreeD="1"/>
</file>

<file path=xl/ctrlProps/ctrlProp53.xml><?xml version="1.0" encoding="utf-8"?>
<formControlPr xmlns="http://schemas.microsoft.com/office/spreadsheetml/2009/9/main" objectType="CheckBox" fmlaLink="STEP!$H$99" lockText="1" noThreeD="1"/>
</file>

<file path=xl/ctrlProps/ctrlProp54.xml><?xml version="1.0" encoding="utf-8"?>
<formControlPr xmlns="http://schemas.microsoft.com/office/spreadsheetml/2009/9/main" objectType="CheckBox" fmlaLink="STEP!$I$99" lockText="1" noThreeD="1"/>
</file>

<file path=xl/ctrlProps/ctrlProp55.xml><?xml version="1.0" encoding="utf-8"?>
<formControlPr xmlns="http://schemas.microsoft.com/office/spreadsheetml/2009/9/main" objectType="CheckBox" fmlaLink="STEP!$D$100" lockText="1" noThreeD="1"/>
</file>

<file path=xl/ctrlProps/ctrlProp56.xml><?xml version="1.0" encoding="utf-8"?>
<formControlPr xmlns="http://schemas.microsoft.com/office/spreadsheetml/2009/9/main" objectType="CheckBox" fmlaLink="STEP!$E$100" lockText="1" noThreeD="1"/>
</file>

<file path=xl/ctrlProps/ctrlProp57.xml><?xml version="1.0" encoding="utf-8"?>
<formControlPr xmlns="http://schemas.microsoft.com/office/spreadsheetml/2009/9/main" objectType="CheckBox" fmlaLink="STEP!$F$100" lockText="1" noThreeD="1"/>
</file>

<file path=xl/ctrlProps/ctrlProp58.xml><?xml version="1.0" encoding="utf-8"?>
<formControlPr xmlns="http://schemas.microsoft.com/office/spreadsheetml/2009/9/main" objectType="CheckBox" fmlaLink="STEP!$G$100" lockText="1" noThreeD="1"/>
</file>

<file path=xl/ctrlProps/ctrlProp59.xml><?xml version="1.0" encoding="utf-8"?>
<formControlPr xmlns="http://schemas.microsoft.com/office/spreadsheetml/2009/9/main" objectType="CheckBox" fmlaLink="STEP!$H$100" lockText="1" noThreeD="1"/>
</file>

<file path=xl/ctrlProps/ctrlProp60.xml><?xml version="1.0" encoding="utf-8"?>
<formControlPr xmlns="http://schemas.microsoft.com/office/spreadsheetml/2009/9/main" objectType="CheckBox" fmlaLink="STEP!$I$100" lockText="1" noThreeD="1"/>
</file>

<file path=xl/ctrlProps/ctrlProp61.xml><?xml version="1.0" encoding="utf-8"?>
<formControlPr xmlns="http://schemas.microsoft.com/office/spreadsheetml/2009/9/main" objectType="CheckBox" fmlaLink="STEP!$D$101" lockText="1" noThreeD="1"/>
</file>

<file path=xl/ctrlProps/ctrlProp62.xml><?xml version="1.0" encoding="utf-8"?>
<formControlPr xmlns="http://schemas.microsoft.com/office/spreadsheetml/2009/9/main" objectType="CheckBox" fmlaLink="STEP!$E$101" lockText="1" noThreeD="1"/>
</file>

<file path=xl/ctrlProps/ctrlProp63.xml><?xml version="1.0" encoding="utf-8"?>
<formControlPr xmlns="http://schemas.microsoft.com/office/spreadsheetml/2009/9/main" objectType="CheckBox" fmlaLink="STEP!$F$101" lockText="1" noThreeD="1"/>
</file>

<file path=xl/ctrlProps/ctrlProp64.xml><?xml version="1.0" encoding="utf-8"?>
<formControlPr xmlns="http://schemas.microsoft.com/office/spreadsheetml/2009/9/main" objectType="CheckBox" fmlaLink="STEP!$G$101" lockText="1" noThreeD="1"/>
</file>

<file path=xl/ctrlProps/ctrlProp65.xml><?xml version="1.0" encoding="utf-8"?>
<formControlPr xmlns="http://schemas.microsoft.com/office/spreadsheetml/2009/9/main" objectType="CheckBox" fmlaLink="STEP!$H$101" lockText="1" noThreeD="1"/>
</file>

<file path=xl/ctrlProps/ctrlProp66.xml><?xml version="1.0" encoding="utf-8"?>
<formControlPr xmlns="http://schemas.microsoft.com/office/spreadsheetml/2009/9/main" objectType="CheckBox" fmlaLink="STEP!$I$101" lockText="1" noThreeD="1"/>
</file>

<file path=xl/ctrlProps/ctrlProp67.xml><?xml version="1.0" encoding="utf-8"?>
<formControlPr xmlns="http://schemas.microsoft.com/office/spreadsheetml/2009/9/main" objectType="CheckBox" fmlaLink="STEP!$D$102" lockText="1" noThreeD="1"/>
</file>

<file path=xl/ctrlProps/ctrlProp68.xml><?xml version="1.0" encoding="utf-8"?>
<formControlPr xmlns="http://schemas.microsoft.com/office/spreadsheetml/2009/9/main" objectType="CheckBox" fmlaLink="STEP!$E$102" lockText="1" noThreeD="1"/>
</file>

<file path=xl/ctrlProps/ctrlProp69.xml><?xml version="1.0" encoding="utf-8"?>
<formControlPr xmlns="http://schemas.microsoft.com/office/spreadsheetml/2009/9/main" objectType="CheckBox" fmlaLink="STEP!$F$102" lockText="1" noThreeD="1"/>
</file>

<file path=xl/ctrlProps/ctrlProp70.xml><?xml version="1.0" encoding="utf-8"?>
<formControlPr xmlns="http://schemas.microsoft.com/office/spreadsheetml/2009/9/main" objectType="CheckBox" fmlaLink="STEP!$G$102" lockText="1" noThreeD="1"/>
</file>

<file path=xl/ctrlProps/ctrlProp71.xml><?xml version="1.0" encoding="utf-8"?>
<formControlPr xmlns="http://schemas.microsoft.com/office/spreadsheetml/2009/9/main" objectType="CheckBox" fmlaLink="STEP!$H$102" lockText="1" noThreeD="1"/>
</file>

<file path=xl/ctrlProps/ctrlProp72.xml><?xml version="1.0" encoding="utf-8"?>
<formControlPr xmlns="http://schemas.microsoft.com/office/spreadsheetml/2009/9/main" objectType="CheckBox" fmlaLink="STEP!$I$102" lockText="1" noThreeD="1"/>
</file>

<file path=xl/ctrlProps/ctrlProp73.xml><?xml version="1.0" encoding="utf-8"?>
<formControlPr xmlns="http://schemas.microsoft.com/office/spreadsheetml/2009/9/main" objectType="CheckBox" fmlaLink="STEP!$K$91" lockText="1" noThreeD="1"/>
</file>

<file path=xl/ctrlProps/ctrlProp74.xml><?xml version="1.0" encoding="utf-8"?>
<formControlPr xmlns="http://schemas.microsoft.com/office/spreadsheetml/2009/9/main" objectType="CheckBox" fmlaLink="STEP!$M$91" lockText="1" noThreeD="1"/>
</file>

<file path=xl/ctrlProps/ctrlProp75.xml><?xml version="1.0" encoding="utf-8"?>
<formControlPr xmlns="http://schemas.microsoft.com/office/spreadsheetml/2009/9/main" objectType="CheckBox" fmlaLink="STEP!$O$91" lockText="1" noThreeD="1"/>
</file>

<file path=xl/ctrlProps/ctrlProp76.xml><?xml version="1.0" encoding="utf-8"?>
<formControlPr xmlns="http://schemas.microsoft.com/office/spreadsheetml/2009/9/main" objectType="CheckBox" checked="Checked" fmlaLink="STEP!$Q$91" lockText="1" noThreeD="1"/>
</file>

<file path=xl/ctrlProps/ctrlProp77.xml><?xml version="1.0" encoding="utf-8"?>
<formControlPr xmlns="http://schemas.microsoft.com/office/spreadsheetml/2009/9/main" objectType="CheckBox" fmlaLink="STEP!$K$92" lockText="1" noThreeD="1"/>
</file>

<file path=xl/ctrlProps/ctrlProp78.xml><?xml version="1.0" encoding="utf-8"?>
<formControlPr xmlns="http://schemas.microsoft.com/office/spreadsheetml/2009/9/main" objectType="CheckBox" fmlaLink="STEP!$M$92" lockText="1" noThreeD="1"/>
</file>

<file path=xl/ctrlProps/ctrlProp79.xml><?xml version="1.0" encoding="utf-8"?>
<formControlPr xmlns="http://schemas.microsoft.com/office/spreadsheetml/2009/9/main" objectType="CheckBox" fmlaLink="STEP!$O$92" lockText="1" noThreeD="1"/>
</file>

<file path=xl/ctrlProps/ctrlProp80.xml><?xml version="1.0" encoding="utf-8"?>
<formControlPr xmlns="http://schemas.microsoft.com/office/spreadsheetml/2009/9/main" objectType="CheckBox" fmlaLink="STEP!$Q$92" lockText="1" noThreeD="1"/>
</file>

<file path=xl/ctrlProps/ctrlProp81.xml><?xml version="1.0" encoding="utf-8"?>
<formControlPr xmlns="http://schemas.microsoft.com/office/spreadsheetml/2009/9/main" objectType="CheckBox" fmlaLink="STEP!$K$93" lockText="1" noThreeD="1"/>
</file>

<file path=xl/ctrlProps/ctrlProp82.xml><?xml version="1.0" encoding="utf-8"?>
<formControlPr xmlns="http://schemas.microsoft.com/office/spreadsheetml/2009/9/main" objectType="CheckBox" fmlaLink="STEP!$M$93" lockText="1" noThreeD="1"/>
</file>

<file path=xl/ctrlProps/ctrlProp83.xml><?xml version="1.0" encoding="utf-8"?>
<formControlPr xmlns="http://schemas.microsoft.com/office/spreadsheetml/2009/9/main" objectType="CheckBox" fmlaLink="STEP!$O$93" lockText="1" noThreeD="1"/>
</file>

<file path=xl/ctrlProps/ctrlProp84.xml><?xml version="1.0" encoding="utf-8"?>
<formControlPr xmlns="http://schemas.microsoft.com/office/spreadsheetml/2009/9/main" objectType="CheckBox" fmlaLink="STEP!$Q$93" lockText="1" noThreeD="1"/>
</file>

<file path=xl/ctrlProps/ctrlProp85.xml><?xml version="1.0" encoding="utf-8"?>
<formControlPr xmlns="http://schemas.microsoft.com/office/spreadsheetml/2009/9/main" objectType="CheckBox" fmlaLink="STEP!$K$94" lockText="1" noThreeD="1"/>
</file>

<file path=xl/ctrlProps/ctrlProp86.xml><?xml version="1.0" encoding="utf-8"?>
<formControlPr xmlns="http://schemas.microsoft.com/office/spreadsheetml/2009/9/main" objectType="CheckBox" fmlaLink="STEP!$M$94" lockText="1" noThreeD="1"/>
</file>

<file path=xl/ctrlProps/ctrlProp87.xml><?xml version="1.0" encoding="utf-8"?>
<formControlPr xmlns="http://schemas.microsoft.com/office/spreadsheetml/2009/9/main" objectType="CheckBox" fmlaLink="STEP!$O$94" lockText="1" noThreeD="1"/>
</file>

<file path=xl/ctrlProps/ctrlProp88.xml><?xml version="1.0" encoding="utf-8"?>
<formControlPr xmlns="http://schemas.microsoft.com/office/spreadsheetml/2009/9/main" objectType="CheckBox" fmlaLink="STEP!$Q$94" lockText="1" noThreeD="1"/>
</file>

<file path=xl/ctrlProps/ctrlProp89.xml><?xml version="1.0" encoding="utf-8"?>
<formControlPr xmlns="http://schemas.microsoft.com/office/spreadsheetml/2009/9/main" objectType="CheckBox" fmlaLink="STEP!$K$95" lockText="1" noThreeD="1"/>
</file>

<file path=xl/ctrlProps/ctrlProp90.xml><?xml version="1.0" encoding="utf-8"?>
<formControlPr xmlns="http://schemas.microsoft.com/office/spreadsheetml/2009/9/main" objectType="CheckBox" fmlaLink="STEP!$M$95" lockText="1" noThreeD="1"/>
</file>

<file path=xl/ctrlProps/ctrlProp91.xml><?xml version="1.0" encoding="utf-8"?>
<formControlPr xmlns="http://schemas.microsoft.com/office/spreadsheetml/2009/9/main" objectType="CheckBox" fmlaLink="STEP!$O$95" lockText="1" noThreeD="1"/>
</file>

<file path=xl/ctrlProps/ctrlProp92.xml><?xml version="1.0" encoding="utf-8"?>
<formControlPr xmlns="http://schemas.microsoft.com/office/spreadsheetml/2009/9/main" objectType="CheckBox" fmlaLink="STEP!$Q$95" lockText="1" noThreeD="1"/>
</file>

<file path=xl/ctrlProps/ctrlProp93.xml><?xml version="1.0" encoding="utf-8"?>
<formControlPr xmlns="http://schemas.microsoft.com/office/spreadsheetml/2009/9/main" objectType="CheckBox" fmlaLink="STEP!$K$96" lockText="1" noThreeD="1"/>
</file>

<file path=xl/ctrlProps/ctrlProp94.xml><?xml version="1.0" encoding="utf-8"?>
<formControlPr xmlns="http://schemas.microsoft.com/office/spreadsheetml/2009/9/main" objectType="CheckBox" fmlaLink="STEP!$M$96" lockText="1" noThreeD="1"/>
</file>

<file path=xl/ctrlProps/ctrlProp95.xml><?xml version="1.0" encoding="utf-8"?>
<formControlPr xmlns="http://schemas.microsoft.com/office/spreadsheetml/2009/9/main" objectType="CheckBox" fmlaLink="STEP!$O$96" lockText="1" noThreeD="1"/>
</file>

<file path=xl/ctrlProps/ctrlProp96.xml><?xml version="1.0" encoding="utf-8"?>
<formControlPr xmlns="http://schemas.microsoft.com/office/spreadsheetml/2009/9/main" objectType="CheckBox" fmlaLink="STEP!$Q$96" lockText="1" noThreeD="1"/>
</file>

<file path=xl/ctrlProps/ctrlProp97.xml><?xml version="1.0" encoding="utf-8"?>
<formControlPr xmlns="http://schemas.microsoft.com/office/spreadsheetml/2009/9/main" objectType="CheckBox" fmlaLink="STEP!$K$97" lockText="1" noThreeD="1"/>
</file>

<file path=xl/ctrlProps/ctrlProp98.xml><?xml version="1.0" encoding="utf-8"?>
<formControlPr xmlns="http://schemas.microsoft.com/office/spreadsheetml/2009/9/main" objectType="CheckBox" fmlaLink="STEP!$M$97" lockText="1" noThreeD="1"/>
</file>

<file path=xl/ctrlProps/ctrlProp99.xml><?xml version="1.0" encoding="utf-8"?>
<formControlPr xmlns="http://schemas.microsoft.com/office/spreadsheetml/2009/9/main" objectType="CheckBox" fmlaLink="STEP!$O$97" lockText="1" noThreeD="1"/>
</file>

<file path=xl/ctrlProps/ctrlProp100.xml><?xml version="1.0" encoding="utf-8"?>
<formControlPr xmlns="http://schemas.microsoft.com/office/spreadsheetml/2009/9/main" objectType="CheckBox" fmlaLink="STEP!$Q$97" lockText="1" noThreeD="1"/>
</file>

<file path=xl/ctrlProps/ctrlProp101.xml><?xml version="1.0" encoding="utf-8"?>
<formControlPr xmlns="http://schemas.microsoft.com/office/spreadsheetml/2009/9/main" objectType="CheckBox" fmlaLink="STEP!$K$98" lockText="1" noThreeD="1"/>
</file>

<file path=xl/ctrlProps/ctrlProp102.xml><?xml version="1.0" encoding="utf-8"?>
<formControlPr xmlns="http://schemas.microsoft.com/office/spreadsheetml/2009/9/main" objectType="CheckBox" fmlaLink="STEP!$M$98" lockText="1" noThreeD="1"/>
</file>

<file path=xl/ctrlProps/ctrlProp103.xml><?xml version="1.0" encoding="utf-8"?>
<formControlPr xmlns="http://schemas.microsoft.com/office/spreadsheetml/2009/9/main" objectType="CheckBox" fmlaLink="STEP!$O$98" lockText="1" noThreeD="1"/>
</file>

<file path=xl/ctrlProps/ctrlProp104.xml><?xml version="1.0" encoding="utf-8"?>
<formControlPr xmlns="http://schemas.microsoft.com/office/spreadsheetml/2009/9/main" objectType="CheckBox" checked="Checked" fmlaLink="STEP!$Q$98" lockText="1" noThreeD="1"/>
</file>

<file path=xl/ctrlProps/ctrlProp105.xml><?xml version="1.0" encoding="utf-8"?>
<formControlPr xmlns="http://schemas.microsoft.com/office/spreadsheetml/2009/9/main" objectType="CheckBox" fmlaLink="STEP!$K$99" lockText="1" noThreeD="1"/>
</file>

<file path=xl/ctrlProps/ctrlProp106.xml><?xml version="1.0" encoding="utf-8"?>
<formControlPr xmlns="http://schemas.microsoft.com/office/spreadsheetml/2009/9/main" objectType="CheckBox" fmlaLink="STEP!$M$99" lockText="1" noThreeD="1"/>
</file>

<file path=xl/ctrlProps/ctrlProp107.xml><?xml version="1.0" encoding="utf-8"?>
<formControlPr xmlns="http://schemas.microsoft.com/office/spreadsheetml/2009/9/main" objectType="CheckBox" fmlaLink="STEP!$O$99" lockText="1" noThreeD="1"/>
</file>

<file path=xl/ctrlProps/ctrlProp108.xml><?xml version="1.0" encoding="utf-8"?>
<formControlPr xmlns="http://schemas.microsoft.com/office/spreadsheetml/2009/9/main" objectType="CheckBox" fmlaLink="STEP!$Q$99" lockText="1" noThreeD="1"/>
</file>

<file path=xl/ctrlProps/ctrlProp109.xml><?xml version="1.0" encoding="utf-8"?>
<formControlPr xmlns="http://schemas.microsoft.com/office/spreadsheetml/2009/9/main" objectType="CheckBox" fmlaLink="STEP!$K$100" lockText="1" noThreeD="1"/>
</file>

<file path=xl/ctrlProps/ctrlProp110.xml><?xml version="1.0" encoding="utf-8"?>
<formControlPr xmlns="http://schemas.microsoft.com/office/spreadsheetml/2009/9/main" objectType="CheckBox" fmlaLink="STEP!$M$100" lockText="1" noThreeD="1"/>
</file>

<file path=xl/ctrlProps/ctrlProp111.xml><?xml version="1.0" encoding="utf-8"?>
<formControlPr xmlns="http://schemas.microsoft.com/office/spreadsheetml/2009/9/main" objectType="CheckBox" fmlaLink="STEP!$O$100" lockText="1" noThreeD="1"/>
</file>

<file path=xl/ctrlProps/ctrlProp112.xml><?xml version="1.0" encoding="utf-8"?>
<formControlPr xmlns="http://schemas.microsoft.com/office/spreadsheetml/2009/9/main" objectType="CheckBox" fmlaLink="STEP!$Q$100" lockText="1" noThreeD="1"/>
</file>

<file path=xl/ctrlProps/ctrlProp113.xml><?xml version="1.0" encoding="utf-8"?>
<formControlPr xmlns="http://schemas.microsoft.com/office/spreadsheetml/2009/9/main" objectType="CheckBox" fmlaLink="STEP!$K$101" lockText="1" noThreeD="1"/>
</file>

<file path=xl/ctrlProps/ctrlProp114.xml><?xml version="1.0" encoding="utf-8"?>
<formControlPr xmlns="http://schemas.microsoft.com/office/spreadsheetml/2009/9/main" objectType="CheckBox" fmlaLink="STEP!$M$101" lockText="1" noThreeD="1"/>
</file>

<file path=xl/ctrlProps/ctrlProp115.xml><?xml version="1.0" encoding="utf-8"?>
<formControlPr xmlns="http://schemas.microsoft.com/office/spreadsheetml/2009/9/main" objectType="CheckBox" fmlaLink="STEP!$O$101" lockText="1" noThreeD="1"/>
</file>

<file path=xl/ctrlProps/ctrlProp116.xml><?xml version="1.0" encoding="utf-8"?>
<formControlPr xmlns="http://schemas.microsoft.com/office/spreadsheetml/2009/9/main" objectType="CheckBox" fmlaLink="STEP!$Q$101" lockText="1" noThreeD="1"/>
</file>

<file path=xl/ctrlProps/ctrlProp117.xml><?xml version="1.0" encoding="utf-8"?>
<formControlPr xmlns="http://schemas.microsoft.com/office/spreadsheetml/2009/9/main" objectType="CheckBox" fmlaLink="STEP!$K$102" lockText="1" noThreeD="1"/>
</file>

<file path=xl/ctrlProps/ctrlProp118.xml><?xml version="1.0" encoding="utf-8"?>
<formControlPr xmlns="http://schemas.microsoft.com/office/spreadsheetml/2009/9/main" objectType="CheckBox" fmlaLink="STEP!$M$102" lockText="1" noThreeD="1"/>
</file>

<file path=xl/ctrlProps/ctrlProp119.xml><?xml version="1.0" encoding="utf-8"?>
<formControlPr xmlns="http://schemas.microsoft.com/office/spreadsheetml/2009/9/main" objectType="CheckBox" fmlaLink="STEP!$O$102" lockText="1" noThreeD="1"/>
</file>

<file path=xl/ctrlProps/ctrlProp120.xml><?xml version="1.0" encoding="utf-8"?>
<formControlPr xmlns="http://schemas.microsoft.com/office/spreadsheetml/2009/9/main" objectType="CheckBox" fmlaLink="STEP!$Q$10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7</xdr:row>
          <xdr:rowOff>161925</xdr:rowOff>
        </xdr:from>
        <xdr:to>
          <xdr:col>3</xdr:col>
          <xdr:colOff>476250</xdr:colOff>
          <xdr:row>9</xdr:row>
          <xdr:rowOff>34925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7</xdr:row>
          <xdr:rowOff>161925</xdr:rowOff>
        </xdr:from>
        <xdr:to>
          <xdr:col>4</xdr:col>
          <xdr:colOff>473075</xdr:colOff>
          <xdr:row>9</xdr:row>
          <xdr:rowOff>34925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7</xdr:row>
          <xdr:rowOff>161925</xdr:rowOff>
        </xdr:from>
        <xdr:to>
          <xdr:col>5</xdr:col>
          <xdr:colOff>473075</xdr:colOff>
          <xdr:row>9</xdr:row>
          <xdr:rowOff>34925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7</xdr:row>
          <xdr:rowOff>161925</xdr:rowOff>
        </xdr:from>
        <xdr:to>
          <xdr:col>6</xdr:col>
          <xdr:colOff>473075</xdr:colOff>
          <xdr:row>9</xdr:row>
          <xdr:rowOff>34925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7</xdr:row>
          <xdr:rowOff>161925</xdr:rowOff>
        </xdr:from>
        <xdr:to>
          <xdr:col>7</xdr:col>
          <xdr:colOff>473075</xdr:colOff>
          <xdr:row>9</xdr:row>
          <xdr:rowOff>34925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7</xdr:row>
          <xdr:rowOff>161925</xdr:rowOff>
        </xdr:from>
        <xdr:to>
          <xdr:col>8</xdr:col>
          <xdr:colOff>473075</xdr:colOff>
          <xdr:row>9</xdr:row>
          <xdr:rowOff>34925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8</xdr:row>
          <xdr:rowOff>171450</xdr:rowOff>
        </xdr:from>
        <xdr:to>
          <xdr:col>3</xdr:col>
          <xdr:colOff>476250</xdr:colOff>
          <xdr:row>10</xdr:row>
          <xdr:rowOff>34925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8</xdr:row>
          <xdr:rowOff>171450</xdr:rowOff>
        </xdr:from>
        <xdr:to>
          <xdr:col>4</xdr:col>
          <xdr:colOff>473075</xdr:colOff>
          <xdr:row>10</xdr:row>
          <xdr:rowOff>34925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8</xdr:row>
          <xdr:rowOff>171450</xdr:rowOff>
        </xdr:from>
        <xdr:to>
          <xdr:col>5</xdr:col>
          <xdr:colOff>473075</xdr:colOff>
          <xdr:row>10</xdr:row>
          <xdr:rowOff>34925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8</xdr:row>
          <xdr:rowOff>171450</xdr:rowOff>
        </xdr:from>
        <xdr:to>
          <xdr:col>6</xdr:col>
          <xdr:colOff>473075</xdr:colOff>
          <xdr:row>10</xdr:row>
          <xdr:rowOff>34925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8</xdr:row>
          <xdr:rowOff>171450</xdr:rowOff>
        </xdr:from>
        <xdr:to>
          <xdr:col>7</xdr:col>
          <xdr:colOff>473075</xdr:colOff>
          <xdr:row>10</xdr:row>
          <xdr:rowOff>34925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8</xdr:row>
          <xdr:rowOff>171450</xdr:rowOff>
        </xdr:from>
        <xdr:to>
          <xdr:col>8</xdr:col>
          <xdr:colOff>473075</xdr:colOff>
          <xdr:row>10</xdr:row>
          <xdr:rowOff>34925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9</xdr:row>
          <xdr:rowOff>171450</xdr:rowOff>
        </xdr:from>
        <xdr:to>
          <xdr:col>3</xdr:col>
          <xdr:colOff>476250</xdr:colOff>
          <xdr:row>11</xdr:row>
          <xdr:rowOff>34925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9</xdr:row>
          <xdr:rowOff>171450</xdr:rowOff>
        </xdr:from>
        <xdr:to>
          <xdr:col>4</xdr:col>
          <xdr:colOff>473075</xdr:colOff>
          <xdr:row>11</xdr:row>
          <xdr:rowOff>34925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9</xdr:row>
          <xdr:rowOff>171450</xdr:rowOff>
        </xdr:from>
        <xdr:to>
          <xdr:col>5</xdr:col>
          <xdr:colOff>473075</xdr:colOff>
          <xdr:row>11</xdr:row>
          <xdr:rowOff>34925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9</xdr:row>
          <xdr:rowOff>171450</xdr:rowOff>
        </xdr:from>
        <xdr:to>
          <xdr:col>6</xdr:col>
          <xdr:colOff>473075</xdr:colOff>
          <xdr:row>11</xdr:row>
          <xdr:rowOff>34925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171450</xdr:rowOff>
        </xdr:from>
        <xdr:to>
          <xdr:col>7</xdr:col>
          <xdr:colOff>473075</xdr:colOff>
          <xdr:row>11</xdr:row>
          <xdr:rowOff>34925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9</xdr:row>
          <xdr:rowOff>171450</xdr:rowOff>
        </xdr:from>
        <xdr:to>
          <xdr:col>8</xdr:col>
          <xdr:colOff>473075</xdr:colOff>
          <xdr:row>11</xdr:row>
          <xdr:rowOff>34925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10</xdr:row>
          <xdr:rowOff>171450</xdr:rowOff>
        </xdr:from>
        <xdr:to>
          <xdr:col>3</xdr:col>
          <xdr:colOff>476250</xdr:colOff>
          <xdr:row>12</xdr:row>
          <xdr:rowOff>34925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10</xdr:row>
          <xdr:rowOff>171450</xdr:rowOff>
        </xdr:from>
        <xdr:to>
          <xdr:col>4</xdr:col>
          <xdr:colOff>473075</xdr:colOff>
          <xdr:row>12</xdr:row>
          <xdr:rowOff>34925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10</xdr:row>
          <xdr:rowOff>171450</xdr:rowOff>
        </xdr:from>
        <xdr:to>
          <xdr:col>5</xdr:col>
          <xdr:colOff>473075</xdr:colOff>
          <xdr:row>12</xdr:row>
          <xdr:rowOff>34925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10</xdr:row>
          <xdr:rowOff>171450</xdr:rowOff>
        </xdr:from>
        <xdr:to>
          <xdr:col>6</xdr:col>
          <xdr:colOff>473075</xdr:colOff>
          <xdr:row>12</xdr:row>
          <xdr:rowOff>34925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10</xdr:row>
          <xdr:rowOff>171450</xdr:rowOff>
        </xdr:from>
        <xdr:to>
          <xdr:col>7</xdr:col>
          <xdr:colOff>473075</xdr:colOff>
          <xdr:row>12</xdr:row>
          <xdr:rowOff>34925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10</xdr:row>
          <xdr:rowOff>171450</xdr:rowOff>
        </xdr:from>
        <xdr:to>
          <xdr:col>8</xdr:col>
          <xdr:colOff>473075</xdr:colOff>
          <xdr:row>12</xdr:row>
          <xdr:rowOff>34925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11</xdr:row>
          <xdr:rowOff>171450</xdr:rowOff>
        </xdr:from>
        <xdr:to>
          <xdr:col>3</xdr:col>
          <xdr:colOff>476250</xdr:colOff>
          <xdr:row>13</xdr:row>
          <xdr:rowOff>34925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11</xdr:row>
          <xdr:rowOff>171450</xdr:rowOff>
        </xdr:from>
        <xdr:to>
          <xdr:col>4</xdr:col>
          <xdr:colOff>473075</xdr:colOff>
          <xdr:row>13</xdr:row>
          <xdr:rowOff>34925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11</xdr:row>
          <xdr:rowOff>171450</xdr:rowOff>
        </xdr:from>
        <xdr:to>
          <xdr:col>5</xdr:col>
          <xdr:colOff>473075</xdr:colOff>
          <xdr:row>13</xdr:row>
          <xdr:rowOff>34925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11</xdr:row>
          <xdr:rowOff>171450</xdr:rowOff>
        </xdr:from>
        <xdr:to>
          <xdr:col>6</xdr:col>
          <xdr:colOff>473075</xdr:colOff>
          <xdr:row>13</xdr:row>
          <xdr:rowOff>34925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11</xdr:row>
          <xdr:rowOff>171450</xdr:rowOff>
        </xdr:from>
        <xdr:to>
          <xdr:col>7</xdr:col>
          <xdr:colOff>473075</xdr:colOff>
          <xdr:row>13</xdr:row>
          <xdr:rowOff>34925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11</xdr:row>
          <xdr:rowOff>171450</xdr:rowOff>
        </xdr:from>
        <xdr:to>
          <xdr:col>8</xdr:col>
          <xdr:colOff>473075</xdr:colOff>
          <xdr:row>13</xdr:row>
          <xdr:rowOff>34925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12</xdr:row>
          <xdr:rowOff>171450</xdr:rowOff>
        </xdr:from>
        <xdr:to>
          <xdr:col>3</xdr:col>
          <xdr:colOff>476250</xdr:colOff>
          <xdr:row>14</xdr:row>
          <xdr:rowOff>34925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12</xdr:row>
          <xdr:rowOff>171450</xdr:rowOff>
        </xdr:from>
        <xdr:to>
          <xdr:col>4</xdr:col>
          <xdr:colOff>473075</xdr:colOff>
          <xdr:row>14</xdr:row>
          <xdr:rowOff>34925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12</xdr:row>
          <xdr:rowOff>171450</xdr:rowOff>
        </xdr:from>
        <xdr:to>
          <xdr:col>5</xdr:col>
          <xdr:colOff>473075</xdr:colOff>
          <xdr:row>14</xdr:row>
          <xdr:rowOff>34925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12</xdr:row>
          <xdr:rowOff>171450</xdr:rowOff>
        </xdr:from>
        <xdr:to>
          <xdr:col>6</xdr:col>
          <xdr:colOff>473075</xdr:colOff>
          <xdr:row>14</xdr:row>
          <xdr:rowOff>34925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12</xdr:row>
          <xdr:rowOff>171450</xdr:rowOff>
        </xdr:from>
        <xdr:to>
          <xdr:col>7</xdr:col>
          <xdr:colOff>473075</xdr:colOff>
          <xdr:row>14</xdr:row>
          <xdr:rowOff>34925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12</xdr:row>
          <xdr:rowOff>171450</xdr:rowOff>
        </xdr:from>
        <xdr:to>
          <xdr:col>8</xdr:col>
          <xdr:colOff>473075</xdr:colOff>
          <xdr:row>14</xdr:row>
          <xdr:rowOff>34925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13</xdr:row>
          <xdr:rowOff>171450</xdr:rowOff>
        </xdr:from>
        <xdr:to>
          <xdr:col>3</xdr:col>
          <xdr:colOff>476250</xdr:colOff>
          <xdr:row>15</xdr:row>
          <xdr:rowOff>34925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13</xdr:row>
          <xdr:rowOff>171450</xdr:rowOff>
        </xdr:from>
        <xdr:to>
          <xdr:col>4</xdr:col>
          <xdr:colOff>473075</xdr:colOff>
          <xdr:row>15</xdr:row>
          <xdr:rowOff>34925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13</xdr:row>
          <xdr:rowOff>171450</xdr:rowOff>
        </xdr:from>
        <xdr:to>
          <xdr:col>5</xdr:col>
          <xdr:colOff>473075</xdr:colOff>
          <xdr:row>15</xdr:row>
          <xdr:rowOff>34925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13</xdr:row>
          <xdr:rowOff>171450</xdr:rowOff>
        </xdr:from>
        <xdr:to>
          <xdr:col>6</xdr:col>
          <xdr:colOff>473075</xdr:colOff>
          <xdr:row>15</xdr:row>
          <xdr:rowOff>34925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13</xdr:row>
          <xdr:rowOff>171450</xdr:rowOff>
        </xdr:from>
        <xdr:to>
          <xdr:col>7</xdr:col>
          <xdr:colOff>473075</xdr:colOff>
          <xdr:row>15</xdr:row>
          <xdr:rowOff>34925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13</xdr:row>
          <xdr:rowOff>171450</xdr:rowOff>
        </xdr:from>
        <xdr:to>
          <xdr:col>8</xdr:col>
          <xdr:colOff>473075</xdr:colOff>
          <xdr:row>15</xdr:row>
          <xdr:rowOff>34925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171450</xdr:rowOff>
        </xdr:from>
        <xdr:to>
          <xdr:col>3</xdr:col>
          <xdr:colOff>476250</xdr:colOff>
          <xdr:row>16</xdr:row>
          <xdr:rowOff>34925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14</xdr:row>
          <xdr:rowOff>171450</xdr:rowOff>
        </xdr:from>
        <xdr:to>
          <xdr:col>4</xdr:col>
          <xdr:colOff>473075</xdr:colOff>
          <xdr:row>16</xdr:row>
          <xdr:rowOff>34925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14</xdr:row>
          <xdr:rowOff>171450</xdr:rowOff>
        </xdr:from>
        <xdr:to>
          <xdr:col>5</xdr:col>
          <xdr:colOff>473075</xdr:colOff>
          <xdr:row>16</xdr:row>
          <xdr:rowOff>34925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14</xdr:row>
          <xdr:rowOff>171450</xdr:rowOff>
        </xdr:from>
        <xdr:to>
          <xdr:col>6</xdr:col>
          <xdr:colOff>473075</xdr:colOff>
          <xdr:row>16</xdr:row>
          <xdr:rowOff>34925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14</xdr:row>
          <xdr:rowOff>171450</xdr:rowOff>
        </xdr:from>
        <xdr:to>
          <xdr:col>7</xdr:col>
          <xdr:colOff>473075</xdr:colOff>
          <xdr:row>16</xdr:row>
          <xdr:rowOff>34925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14</xdr:row>
          <xdr:rowOff>171450</xdr:rowOff>
        </xdr:from>
        <xdr:to>
          <xdr:col>8</xdr:col>
          <xdr:colOff>473075</xdr:colOff>
          <xdr:row>16</xdr:row>
          <xdr:rowOff>34925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15</xdr:row>
          <xdr:rowOff>171450</xdr:rowOff>
        </xdr:from>
        <xdr:to>
          <xdr:col>3</xdr:col>
          <xdr:colOff>476250</xdr:colOff>
          <xdr:row>17</xdr:row>
          <xdr:rowOff>34925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15</xdr:row>
          <xdr:rowOff>171450</xdr:rowOff>
        </xdr:from>
        <xdr:to>
          <xdr:col>4</xdr:col>
          <xdr:colOff>473075</xdr:colOff>
          <xdr:row>17</xdr:row>
          <xdr:rowOff>34925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15</xdr:row>
          <xdr:rowOff>171450</xdr:rowOff>
        </xdr:from>
        <xdr:to>
          <xdr:col>5</xdr:col>
          <xdr:colOff>473075</xdr:colOff>
          <xdr:row>17</xdr:row>
          <xdr:rowOff>34925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15</xdr:row>
          <xdr:rowOff>171450</xdr:rowOff>
        </xdr:from>
        <xdr:to>
          <xdr:col>6</xdr:col>
          <xdr:colOff>473075</xdr:colOff>
          <xdr:row>17</xdr:row>
          <xdr:rowOff>34925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15</xdr:row>
          <xdr:rowOff>171450</xdr:rowOff>
        </xdr:from>
        <xdr:to>
          <xdr:col>7</xdr:col>
          <xdr:colOff>473075</xdr:colOff>
          <xdr:row>17</xdr:row>
          <xdr:rowOff>34925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15</xdr:row>
          <xdr:rowOff>171450</xdr:rowOff>
        </xdr:from>
        <xdr:to>
          <xdr:col>8</xdr:col>
          <xdr:colOff>473075</xdr:colOff>
          <xdr:row>17</xdr:row>
          <xdr:rowOff>34925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16</xdr:row>
          <xdr:rowOff>171450</xdr:rowOff>
        </xdr:from>
        <xdr:to>
          <xdr:col>3</xdr:col>
          <xdr:colOff>476250</xdr:colOff>
          <xdr:row>18</xdr:row>
          <xdr:rowOff>34925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16</xdr:row>
          <xdr:rowOff>171450</xdr:rowOff>
        </xdr:from>
        <xdr:to>
          <xdr:col>4</xdr:col>
          <xdr:colOff>473075</xdr:colOff>
          <xdr:row>18</xdr:row>
          <xdr:rowOff>34925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16</xdr:row>
          <xdr:rowOff>171450</xdr:rowOff>
        </xdr:from>
        <xdr:to>
          <xdr:col>5</xdr:col>
          <xdr:colOff>473075</xdr:colOff>
          <xdr:row>18</xdr:row>
          <xdr:rowOff>34925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16</xdr:row>
          <xdr:rowOff>171450</xdr:rowOff>
        </xdr:from>
        <xdr:to>
          <xdr:col>6</xdr:col>
          <xdr:colOff>473075</xdr:colOff>
          <xdr:row>18</xdr:row>
          <xdr:rowOff>34925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16</xdr:row>
          <xdr:rowOff>171450</xdr:rowOff>
        </xdr:from>
        <xdr:to>
          <xdr:col>7</xdr:col>
          <xdr:colOff>473075</xdr:colOff>
          <xdr:row>18</xdr:row>
          <xdr:rowOff>34925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16</xdr:row>
          <xdr:rowOff>171450</xdr:rowOff>
        </xdr:from>
        <xdr:to>
          <xdr:col>8</xdr:col>
          <xdr:colOff>473075</xdr:colOff>
          <xdr:row>18</xdr:row>
          <xdr:rowOff>34925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17</xdr:row>
          <xdr:rowOff>171450</xdr:rowOff>
        </xdr:from>
        <xdr:to>
          <xdr:col>3</xdr:col>
          <xdr:colOff>476250</xdr:colOff>
          <xdr:row>19</xdr:row>
          <xdr:rowOff>34925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17</xdr:row>
          <xdr:rowOff>171450</xdr:rowOff>
        </xdr:from>
        <xdr:to>
          <xdr:col>4</xdr:col>
          <xdr:colOff>473075</xdr:colOff>
          <xdr:row>19</xdr:row>
          <xdr:rowOff>34925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17</xdr:row>
          <xdr:rowOff>171450</xdr:rowOff>
        </xdr:from>
        <xdr:to>
          <xdr:col>5</xdr:col>
          <xdr:colOff>473075</xdr:colOff>
          <xdr:row>19</xdr:row>
          <xdr:rowOff>34925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17</xdr:row>
          <xdr:rowOff>171450</xdr:rowOff>
        </xdr:from>
        <xdr:to>
          <xdr:col>6</xdr:col>
          <xdr:colOff>473075</xdr:colOff>
          <xdr:row>19</xdr:row>
          <xdr:rowOff>34925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17</xdr:row>
          <xdr:rowOff>171450</xdr:rowOff>
        </xdr:from>
        <xdr:to>
          <xdr:col>7</xdr:col>
          <xdr:colOff>473075</xdr:colOff>
          <xdr:row>19</xdr:row>
          <xdr:rowOff>34925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17</xdr:row>
          <xdr:rowOff>171450</xdr:rowOff>
        </xdr:from>
        <xdr:to>
          <xdr:col>8</xdr:col>
          <xdr:colOff>473075</xdr:colOff>
          <xdr:row>19</xdr:row>
          <xdr:rowOff>34925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18</xdr:row>
          <xdr:rowOff>171450</xdr:rowOff>
        </xdr:from>
        <xdr:to>
          <xdr:col>3</xdr:col>
          <xdr:colOff>476250</xdr:colOff>
          <xdr:row>20</xdr:row>
          <xdr:rowOff>19050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18</xdr:row>
          <xdr:rowOff>171450</xdr:rowOff>
        </xdr:from>
        <xdr:to>
          <xdr:col>4</xdr:col>
          <xdr:colOff>473075</xdr:colOff>
          <xdr:row>20</xdr:row>
          <xdr:rowOff>19050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18</xdr:row>
          <xdr:rowOff>171450</xdr:rowOff>
        </xdr:from>
        <xdr:to>
          <xdr:col>5</xdr:col>
          <xdr:colOff>473075</xdr:colOff>
          <xdr:row>20</xdr:row>
          <xdr:rowOff>19050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18</xdr:row>
          <xdr:rowOff>171450</xdr:rowOff>
        </xdr:from>
        <xdr:to>
          <xdr:col>6</xdr:col>
          <xdr:colOff>473075</xdr:colOff>
          <xdr:row>20</xdr:row>
          <xdr:rowOff>19050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18</xdr:row>
          <xdr:rowOff>171450</xdr:rowOff>
        </xdr:from>
        <xdr:to>
          <xdr:col>7</xdr:col>
          <xdr:colOff>473075</xdr:colOff>
          <xdr:row>20</xdr:row>
          <xdr:rowOff>19050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18</xdr:row>
          <xdr:rowOff>171450</xdr:rowOff>
        </xdr:from>
        <xdr:to>
          <xdr:col>8</xdr:col>
          <xdr:colOff>473075</xdr:colOff>
          <xdr:row>20</xdr:row>
          <xdr:rowOff>19050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7</xdr:row>
          <xdr:rowOff>171450</xdr:rowOff>
        </xdr:from>
        <xdr:to>
          <xdr:col>10</xdr:col>
          <xdr:colOff>492125</xdr:colOff>
          <xdr:row>9</xdr:row>
          <xdr:rowOff>34925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7</xdr:row>
          <xdr:rowOff>171450</xdr:rowOff>
        </xdr:from>
        <xdr:to>
          <xdr:col>12</xdr:col>
          <xdr:colOff>495300</xdr:colOff>
          <xdr:row>9</xdr:row>
          <xdr:rowOff>34925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171450</xdr:rowOff>
        </xdr:from>
        <xdr:to>
          <xdr:col>14</xdr:col>
          <xdr:colOff>495300</xdr:colOff>
          <xdr:row>9</xdr:row>
          <xdr:rowOff>34925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7</xdr:row>
          <xdr:rowOff>171450</xdr:rowOff>
        </xdr:from>
        <xdr:to>
          <xdr:col>16</xdr:col>
          <xdr:colOff>495300</xdr:colOff>
          <xdr:row>9</xdr:row>
          <xdr:rowOff>34925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161925</xdr:rowOff>
        </xdr:from>
        <xdr:to>
          <xdr:col>14</xdr:col>
          <xdr:colOff>495300</xdr:colOff>
          <xdr:row>10</xdr:row>
          <xdr:rowOff>34925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8</xdr:row>
          <xdr:rowOff>161925</xdr:rowOff>
        </xdr:from>
        <xdr:to>
          <xdr:col>16</xdr:col>
          <xdr:colOff>495300</xdr:colOff>
          <xdr:row>10</xdr:row>
          <xdr:rowOff>34925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171450</xdr:rowOff>
        </xdr:from>
        <xdr:to>
          <xdr:col>12</xdr:col>
          <xdr:colOff>495300</xdr:colOff>
          <xdr:row>10</xdr:row>
          <xdr:rowOff>34925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8</xdr:row>
          <xdr:rowOff>171450</xdr:rowOff>
        </xdr:from>
        <xdr:to>
          <xdr:col>10</xdr:col>
          <xdr:colOff>492125</xdr:colOff>
          <xdr:row>10</xdr:row>
          <xdr:rowOff>34925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171450</xdr:rowOff>
        </xdr:from>
        <xdr:to>
          <xdr:col>14</xdr:col>
          <xdr:colOff>511175</xdr:colOff>
          <xdr:row>11</xdr:row>
          <xdr:rowOff>38100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9</xdr:row>
          <xdr:rowOff>171450</xdr:rowOff>
        </xdr:from>
        <xdr:to>
          <xdr:col>16</xdr:col>
          <xdr:colOff>511175</xdr:colOff>
          <xdr:row>11</xdr:row>
          <xdr:rowOff>38100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9</xdr:row>
          <xdr:rowOff>171450</xdr:rowOff>
        </xdr:from>
        <xdr:to>
          <xdr:col>12</xdr:col>
          <xdr:colOff>492125</xdr:colOff>
          <xdr:row>11</xdr:row>
          <xdr:rowOff>34925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9</xdr:row>
          <xdr:rowOff>171450</xdr:rowOff>
        </xdr:from>
        <xdr:to>
          <xdr:col>10</xdr:col>
          <xdr:colOff>476250</xdr:colOff>
          <xdr:row>11</xdr:row>
          <xdr:rowOff>34925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171450</xdr:rowOff>
        </xdr:from>
        <xdr:to>
          <xdr:col>14</xdr:col>
          <xdr:colOff>511175</xdr:colOff>
          <xdr:row>12</xdr:row>
          <xdr:rowOff>38100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10</xdr:row>
          <xdr:rowOff>171450</xdr:rowOff>
        </xdr:from>
        <xdr:to>
          <xdr:col>16</xdr:col>
          <xdr:colOff>511175</xdr:colOff>
          <xdr:row>12</xdr:row>
          <xdr:rowOff>38100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10</xdr:row>
          <xdr:rowOff>171450</xdr:rowOff>
        </xdr:from>
        <xdr:to>
          <xdr:col>12</xdr:col>
          <xdr:colOff>492125</xdr:colOff>
          <xdr:row>12</xdr:row>
          <xdr:rowOff>34925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10</xdr:row>
          <xdr:rowOff>171450</xdr:rowOff>
        </xdr:from>
        <xdr:to>
          <xdr:col>10</xdr:col>
          <xdr:colOff>476250</xdr:colOff>
          <xdr:row>12</xdr:row>
          <xdr:rowOff>34925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14</xdr:row>
          <xdr:rowOff>161925</xdr:rowOff>
        </xdr:from>
        <xdr:to>
          <xdr:col>14</xdr:col>
          <xdr:colOff>495300</xdr:colOff>
          <xdr:row>16</xdr:row>
          <xdr:rowOff>19050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14</xdr:row>
          <xdr:rowOff>161925</xdr:rowOff>
        </xdr:from>
        <xdr:to>
          <xdr:col>16</xdr:col>
          <xdr:colOff>495300</xdr:colOff>
          <xdr:row>16</xdr:row>
          <xdr:rowOff>19050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14</xdr:row>
          <xdr:rowOff>161925</xdr:rowOff>
        </xdr:from>
        <xdr:to>
          <xdr:col>12</xdr:col>
          <xdr:colOff>492125</xdr:colOff>
          <xdr:row>16</xdr:row>
          <xdr:rowOff>34925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14</xdr:row>
          <xdr:rowOff>161925</xdr:rowOff>
        </xdr:from>
        <xdr:to>
          <xdr:col>10</xdr:col>
          <xdr:colOff>492125</xdr:colOff>
          <xdr:row>16</xdr:row>
          <xdr:rowOff>34925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13</xdr:row>
          <xdr:rowOff>161925</xdr:rowOff>
        </xdr:from>
        <xdr:to>
          <xdr:col>10</xdr:col>
          <xdr:colOff>492125</xdr:colOff>
          <xdr:row>15</xdr:row>
          <xdr:rowOff>34925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12</xdr:row>
          <xdr:rowOff>161925</xdr:rowOff>
        </xdr:from>
        <xdr:to>
          <xdr:col>10</xdr:col>
          <xdr:colOff>476250</xdr:colOff>
          <xdr:row>14</xdr:row>
          <xdr:rowOff>34925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11</xdr:row>
          <xdr:rowOff>171450</xdr:rowOff>
        </xdr:from>
        <xdr:to>
          <xdr:col>10</xdr:col>
          <xdr:colOff>476250</xdr:colOff>
          <xdr:row>13</xdr:row>
          <xdr:rowOff>34925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11</xdr:row>
          <xdr:rowOff>171450</xdr:rowOff>
        </xdr:from>
        <xdr:to>
          <xdr:col>12</xdr:col>
          <xdr:colOff>492125</xdr:colOff>
          <xdr:row>13</xdr:row>
          <xdr:rowOff>34925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12</xdr:row>
          <xdr:rowOff>161925</xdr:rowOff>
        </xdr:from>
        <xdr:to>
          <xdr:col>12</xdr:col>
          <xdr:colOff>492125</xdr:colOff>
          <xdr:row>14</xdr:row>
          <xdr:rowOff>34925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13</xdr:row>
          <xdr:rowOff>161925</xdr:rowOff>
        </xdr:from>
        <xdr:to>
          <xdr:col>12</xdr:col>
          <xdr:colOff>492125</xdr:colOff>
          <xdr:row>15</xdr:row>
          <xdr:rowOff>34925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13</xdr:row>
          <xdr:rowOff>161925</xdr:rowOff>
        </xdr:from>
        <xdr:to>
          <xdr:col>14</xdr:col>
          <xdr:colOff>495300</xdr:colOff>
          <xdr:row>15</xdr:row>
          <xdr:rowOff>19050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12</xdr:row>
          <xdr:rowOff>171450</xdr:rowOff>
        </xdr:from>
        <xdr:to>
          <xdr:col>14</xdr:col>
          <xdr:colOff>511175</xdr:colOff>
          <xdr:row>14</xdr:row>
          <xdr:rowOff>19050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11</xdr:row>
          <xdr:rowOff>161925</xdr:rowOff>
        </xdr:from>
        <xdr:to>
          <xdr:col>14</xdr:col>
          <xdr:colOff>495300</xdr:colOff>
          <xdr:row>13</xdr:row>
          <xdr:rowOff>34925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11</xdr:row>
          <xdr:rowOff>161925</xdr:rowOff>
        </xdr:from>
        <xdr:to>
          <xdr:col>16</xdr:col>
          <xdr:colOff>495300</xdr:colOff>
          <xdr:row>13</xdr:row>
          <xdr:rowOff>34925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12</xdr:row>
          <xdr:rowOff>161925</xdr:rowOff>
        </xdr:from>
        <xdr:to>
          <xdr:col>16</xdr:col>
          <xdr:colOff>495300</xdr:colOff>
          <xdr:row>14</xdr:row>
          <xdr:rowOff>19050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13</xdr:row>
          <xdr:rowOff>161925</xdr:rowOff>
        </xdr:from>
        <xdr:to>
          <xdr:col>16</xdr:col>
          <xdr:colOff>495300</xdr:colOff>
          <xdr:row>15</xdr:row>
          <xdr:rowOff>19050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18</xdr:row>
          <xdr:rowOff>171450</xdr:rowOff>
        </xdr:from>
        <xdr:to>
          <xdr:col>14</xdr:col>
          <xdr:colOff>511175</xdr:colOff>
          <xdr:row>20</xdr:row>
          <xdr:rowOff>19050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18</xdr:row>
          <xdr:rowOff>171450</xdr:rowOff>
        </xdr:from>
        <xdr:to>
          <xdr:col>16</xdr:col>
          <xdr:colOff>511175</xdr:colOff>
          <xdr:row>20</xdr:row>
          <xdr:rowOff>19050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18</xdr:row>
          <xdr:rowOff>161925</xdr:rowOff>
        </xdr:from>
        <xdr:to>
          <xdr:col>12</xdr:col>
          <xdr:colOff>492125</xdr:colOff>
          <xdr:row>20</xdr:row>
          <xdr:rowOff>34925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18</xdr:row>
          <xdr:rowOff>161925</xdr:rowOff>
        </xdr:from>
        <xdr:to>
          <xdr:col>10</xdr:col>
          <xdr:colOff>476250</xdr:colOff>
          <xdr:row>20</xdr:row>
          <xdr:rowOff>34925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17</xdr:row>
          <xdr:rowOff>161925</xdr:rowOff>
        </xdr:from>
        <xdr:to>
          <xdr:col>10</xdr:col>
          <xdr:colOff>476250</xdr:colOff>
          <xdr:row>19</xdr:row>
          <xdr:rowOff>34925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16</xdr:row>
          <xdr:rowOff>161925</xdr:rowOff>
        </xdr:from>
        <xdr:to>
          <xdr:col>10</xdr:col>
          <xdr:colOff>476250</xdr:colOff>
          <xdr:row>18</xdr:row>
          <xdr:rowOff>34925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15</xdr:row>
          <xdr:rowOff>171450</xdr:rowOff>
        </xdr:from>
        <xdr:to>
          <xdr:col>10</xdr:col>
          <xdr:colOff>476250</xdr:colOff>
          <xdr:row>17</xdr:row>
          <xdr:rowOff>34925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15</xdr:row>
          <xdr:rowOff>171450</xdr:rowOff>
        </xdr:from>
        <xdr:to>
          <xdr:col>12</xdr:col>
          <xdr:colOff>492125</xdr:colOff>
          <xdr:row>17</xdr:row>
          <xdr:rowOff>34925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16</xdr:row>
          <xdr:rowOff>161925</xdr:rowOff>
        </xdr:from>
        <xdr:to>
          <xdr:col>12</xdr:col>
          <xdr:colOff>492125</xdr:colOff>
          <xdr:row>18</xdr:row>
          <xdr:rowOff>34925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17</xdr:row>
          <xdr:rowOff>161925</xdr:rowOff>
        </xdr:from>
        <xdr:to>
          <xdr:col>12</xdr:col>
          <xdr:colOff>492125</xdr:colOff>
          <xdr:row>19</xdr:row>
          <xdr:rowOff>34925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17</xdr:row>
          <xdr:rowOff>171450</xdr:rowOff>
        </xdr:from>
        <xdr:to>
          <xdr:col>14</xdr:col>
          <xdr:colOff>511175</xdr:colOff>
          <xdr:row>19</xdr:row>
          <xdr:rowOff>19050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16</xdr:row>
          <xdr:rowOff>171450</xdr:rowOff>
        </xdr:from>
        <xdr:to>
          <xdr:col>14</xdr:col>
          <xdr:colOff>511175</xdr:colOff>
          <xdr:row>18</xdr:row>
          <xdr:rowOff>19050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15</xdr:row>
          <xdr:rowOff>171450</xdr:rowOff>
        </xdr:from>
        <xdr:to>
          <xdr:col>14</xdr:col>
          <xdr:colOff>511175</xdr:colOff>
          <xdr:row>17</xdr:row>
          <xdr:rowOff>38100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15</xdr:row>
          <xdr:rowOff>171450</xdr:rowOff>
        </xdr:from>
        <xdr:to>
          <xdr:col>16</xdr:col>
          <xdr:colOff>511175</xdr:colOff>
          <xdr:row>17</xdr:row>
          <xdr:rowOff>38100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16</xdr:row>
          <xdr:rowOff>171450</xdr:rowOff>
        </xdr:from>
        <xdr:to>
          <xdr:col>16</xdr:col>
          <xdr:colOff>511175</xdr:colOff>
          <xdr:row>18</xdr:row>
          <xdr:rowOff>19050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17</xdr:row>
          <xdr:rowOff>171450</xdr:rowOff>
        </xdr:from>
        <xdr:to>
          <xdr:col>16</xdr:col>
          <xdr:colOff>511175</xdr:colOff>
          <xdr:row>19</xdr:row>
          <xdr:rowOff>19050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224054</xdr:colOff>
      <xdr:row>1</xdr:row>
      <xdr:rowOff>67809</xdr:rowOff>
    </xdr:from>
    <xdr:to>
      <xdr:col>12</xdr:col>
      <xdr:colOff>111873</xdr:colOff>
      <xdr:row>3</xdr:row>
      <xdr:rowOff>121227</xdr:rowOff>
    </xdr:to>
    <xdr:sp macro="[0]!Macro21" textlink="">
      <xdr:nvSpPr>
        <xdr:cNvPr id="10" name="Cub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73507" y="228543"/>
          <a:ext cx="1638038" cy="541575"/>
        </a:xfrm>
        <a:prstGeom prst="cube">
          <a:avLst>
            <a:gd name="adj" fmla="val 10374"/>
          </a:avLst>
        </a:prstGeom>
        <a:solidFill>
          <a:schemeClr val="tx1">
            <a:lumMod val="85000"/>
            <a:lumOff val="1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>
              <a:solidFill>
                <a:srgbClr val="FFC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Send to M</a:t>
          </a:r>
          <a:r>
            <a:rPr lang="en-GB" sz="1400" b="1" baseline="0">
              <a:solidFill>
                <a:srgbClr val="FFC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odule</a:t>
          </a:r>
          <a:endParaRPr lang="en-GB" sz="1400" b="1">
            <a:solidFill>
              <a:srgbClr val="FFC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286868</xdr:colOff>
      <xdr:row>2</xdr:row>
      <xdr:rowOff>99758</xdr:rowOff>
    </xdr:from>
    <xdr:to>
      <xdr:col>11</xdr:col>
      <xdr:colOff>494768</xdr:colOff>
      <xdr:row>3</xdr:row>
      <xdr:rowOff>112171</xdr:rowOff>
    </xdr:to>
    <xdr:sp macro="" textlink="" fLocksText="0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436321" y="558149"/>
          <a:ext cx="1374713" cy="202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GB" sz="1050" b="1">
              <a:solidFill>
                <a:srgbClr val="01FF1F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Updated!</a:t>
          </a:r>
        </a:p>
      </xdr:txBody>
    </xdr:sp>
    <xdr:clientData/>
  </xdr:twoCellAnchor>
  <xdr:twoCellAnchor>
    <xdr:from>
      <xdr:col>13</xdr:col>
      <xdr:colOff>197714</xdr:colOff>
      <xdr:row>1</xdr:row>
      <xdr:rowOff>138546</xdr:rowOff>
    </xdr:from>
    <xdr:to>
      <xdr:col>14</xdr:col>
      <xdr:colOff>502476</xdr:colOff>
      <xdr:row>3</xdr:row>
      <xdr:rowOff>75045</xdr:rowOff>
    </xdr:to>
    <xdr:sp macro="[0]!START" textlink="" fLocksText="0">
      <xdr:nvSpPr>
        <xdr:cNvPr id="2" name="Cub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80792" y="299280"/>
          <a:ext cx="888168" cy="424656"/>
        </a:xfrm>
        <a:prstGeom prst="cube">
          <a:avLst>
            <a:gd name="adj" fmla="val 10374"/>
          </a:avLst>
        </a:prstGeom>
        <a:solidFill>
          <a:schemeClr val="tx1">
            <a:lumMod val="85000"/>
            <a:lumOff val="1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1FF1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START</a:t>
          </a:r>
        </a:p>
      </xdr:txBody>
    </xdr:sp>
    <xdr:clientData fLocksWithSheet="0"/>
  </xdr:twoCellAnchor>
  <xdr:twoCellAnchor>
    <xdr:from>
      <xdr:col>15</xdr:col>
      <xdr:colOff>124269</xdr:colOff>
      <xdr:row>1</xdr:row>
      <xdr:rowOff>132160</xdr:rowOff>
    </xdr:from>
    <xdr:to>
      <xdr:col>16</xdr:col>
      <xdr:colOff>424453</xdr:colOff>
      <xdr:row>3</xdr:row>
      <xdr:rowOff>68659</xdr:rowOff>
    </xdr:to>
    <xdr:sp macro="[0]!stop1" textlink="" fLocksText="0">
      <xdr:nvSpPr>
        <xdr:cNvPr id="3" name="Cub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774160" y="292894"/>
          <a:ext cx="883590" cy="424656"/>
        </a:xfrm>
        <a:prstGeom prst="cube">
          <a:avLst>
            <a:gd name="adj" fmla="val 10374"/>
          </a:avLst>
        </a:prstGeom>
        <a:solidFill>
          <a:schemeClr val="tx1">
            <a:lumMod val="85000"/>
            <a:lumOff val="1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STOP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682625</xdr:colOff>
      <xdr:row>20</xdr:row>
      <xdr:rowOff>244475</xdr:rowOff>
    </xdr:from>
    <xdr:to>
      <xdr:col>11</xdr:col>
      <xdr:colOff>546100</xdr:colOff>
      <xdr:row>21</xdr:row>
      <xdr:rowOff>244475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08BBB51-74B5-0034-D026-2FDC38D1CAEC}"/>
            </a:ext>
          </a:extLst>
        </xdr:cNvPr>
        <xdr:cNvSpPr/>
      </xdr:nvSpPr>
      <xdr:spPr>
        <a:xfrm>
          <a:off x="8124825" y="5534025"/>
          <a:ext cx="581025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tx1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400" b="1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◀ Mais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F554F0-248D-4B20-A1CE-17AF90A917BF}" name="TBL_CUR" displayName="TBL_CUR" ref="A4:K5" totalsRowShown="0" headerRowDxfId="25" dataDxfId="23">
  <autoFilter ref="A4:K5" xr:uid="{4EF554F0-248D-4B20-A1CE-17AF90A917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E79BAE1D-E742-4714-8852-78F5CE48E756}" name="TIME" dataDxfId="12"/>
    <tableColumn id="2" xr3:uid="{AA92AD31-93EA-47AF-8A38-E01F0587562E}" name="CH1" dataDxfId="13"/>
    <tableColumn id="3" xr3:uid="{DDDF9198-17C4-4417-9C8C-8B1CA1DD1676}" name="CH2" dataDxfId="22"/>
    <tableColumn id="4" xr3:uid="{90A5E7B6-238E-497E-8C64-5EE7C25C7BB6}" name="CH3" dataDxfId="21"/>
    <tableColumn id="5" xr3:uid="{1859336D-82C1-4E66-9F7E-32B44DF6053B}" name="CH4" dataDxfId="20"/>
    <tableColumn id="6" xr3:uid="{6BF28185-DEB5-4727-AE84-35F9E0C5F871}" name="CH5" dataDxfId="19"/>
    <tableColumn id="7" xr3:uid="{8099CCF4-BEFB-44D8-9CD0-E9416E24FF88}" name="CH6" dataDxfId="18"/>
    <tableColumn id="8" xr3:uid="{3CB4DA0D-90F0-437C-A1A9-49DED657A7DD}" name="CH7" dataDxfId="17"/>
    <tableColumn id="9" xr3:uid="{FA8230EB-FFC7-4CFE-8592-C9D0B996A0E6}" name="CH8" dataDxfId="16"/>
    <tableColumn id="10" xr3:uid="{2278B00F-B597-439B-8617-4BA4E8F791FA}" name="CH9" dataDxfId="15"/>
    <tableColumn id="11" xr3:uid="{79191C71-E560-437C-8FEF-47E1EEB9B948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43F261-88D2-4920-A078-37B45106D3B3}" name="TBL_HST" displayName="TBL_HST" ref="A7:K22" totalsRowShown="0" headerRowDxfId="24" dataDxfId="11">
  <autoFilter ref="A7:K22" xr:uid="{2343F261-88D2-4920-A078-37B45106D3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B87A25D-BD41-4B0E-AC31-9F5B7C840DF0}" name="TIME" dataDxfId="0"/>
    <tableColumn id="2" xr3:uid="{57278197-F33C-447E-8A5F-448F3AD492C5}" name="CH1" dataDxfId="1"/>
    <tableColumn id="3" xr3:uid="{98BDEC01-5B2F-49A6-A726-C4A66CF7990B}" name="CH2" dataDxfId="10"/>
    <tableColumn id="4" xr3:uid="{553D5504-5584-496D-BDD6-889A5C857384}" name="CH3" dataDxfId="9"/>
    <tableColumn id="5" xr3:uid="{BF0D68CB-A45B-4B69-8C19-8B26210990B4}" name="CH4" dataDxfId="8"/>
    <tableColumn id="6" xr3:uid="{01281DEA-6244-4324-89E9-902D66909E3A}" name="CH5" dataDxfId="7"/>
    <tableColumn id="7" xr3:uid="{BFED3760-BD84-47ED-A74E-A1839C7F46CE}" name="CH6" dataDxfId="6"/>
    <tableColumn id="8" xr3:uid="{EFF68A3E-222D-4C63-9168-D5B942740569}" name="CH7" dataDxfId="5"/>
    <tableColumn id="9" xr3:uid="{D3041D64-5EB4-4BCA-A316-1783DAF0214C}" name="CH8" dataDxfId="4"/>
    <tableColumn id="10" xr3:uid="{DA9D37F5-C474-4992-AB6C-EF22AE280469}" name="CH9" dataDxfId="3"/>
    <tableColumn id="11" xr3:uid="{51CB1E93-976F-40AA-B68E-D4946867A152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1">
            <a:lumMod val="85000"/>
            <a:lumOff val="15000"/>
          </a:schemeClr>
        </a:solidFill>
        <a:ln>
          <a:solidFill>
            <a:schemeClr val="tx1"/>
          </a:solidFill>
        </a:ln>
      </a:spPr>
      <a:bodyPr vertOverflow="clip" horzOverflow="clip" rtlCol="0" anchor="ctr"/>
      <a:lstStyle>
        <a:defPPr algn="ctr">
          <a:defRPr sz="1400" b="1">
            <a:solidFill>
              <a:srgbClr val="FFC000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0FCAB-F825-4AD6-8C71-1988F7DAA18D}">
  <sheetPr codeName="Planilha1"/>
  <dimension ref="A1:BB124"/>
  <sheetViews>
    <sheetView tabSelected="1" zoomScale="110" zoomScaleNormal="110" workbookViewId="0">
      <selection activeCell="B2" sqref="B2:H4"/>
    </sheetView>
  </sheetViews>
  <sheetFormatPr defaultColWidth="8.7109375" defaultRowHeight="15" x14ac:dyDescent="0.25"/>
  <cols>
    <col min="1" max="1" width="2.42578125" style="3" customWidth="1"/>
    <col min="2" max="2" width="13.5703125" style="3" bestFit="1" customWidth="1"/>
    <col min="3" max="17" width="8.7109375" style="3"/>
    <col min="18" max="18" width="3.140625" style="3" customWidth="1"/>
    <col min="19" max="19" width="13.5703125" style="3" bestFit="1" customWidth="1"/>
    <col min="20" max="16384" width="8.7109375" style="3"/>
  </cols>
  <sheetData>
    <row r="1" spans="1:54" ht="12.75" customHeight="1" thickBot="1" x14ac:dyDescent="0.3">
      <c r="A1" s="53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54" ht="23.25" customHeight="1" thickTop="1" x14ac:dyDescent="0.25">
      <c r="A2" s="51"/>
      <c r="B2" s="70" t="s">
        <v>12</v>
      </c>
      <c r="C2" s="71"/>
      <c r="D2" s="71"/>
      <c r="E2" s="71"/>
      <c r="F2" s="71"/>
      <c r="G2" s="71"/>
      <c r="H2" s="72"/>
      <c r="I2" s="15"/>
      <c r="J2" s="58"/>
      <c r="K2" s="54"/>
      <c r="L2" s="54"/>
      <c r="M2" s="54"/>
      <c r="N2" s="54"/>
      <c r="O2" s="54"/>
      <c r="P2" s="54"/>
      <c r="Q2" s="60"/>
      <c r="R2" s="6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54" ht="15" customHeight="1" x14ac:dyDescent="0.25">
      <c r="A3" s="52"/>
      <c r="B3" s="73"/>
      <c r="C3" s="74"/>
      <c r="D3" s="74"/>
      <c r="E3" s="74"/>
      <c r="F3" s="74"/>
      <c r="G3" s="74"/>
      <c r="H3" s="75"/>
      <c r="I3" s="15"/>
      <c r="J3" s="55"/>
      <c r="K3" s="56"/>
      <c r="L3" s="56"/>
      <c r="M3" s="56"/>
      <c r="N3" s="56"/>
      <c r="O3" s="56"/>
      <c r="P3" s="56"/>
      <c r="Q3" s="61"/>
      <c r="R3" s="6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</row>
    <row r="4" spans="1:54" ht="15" customHeight="1" thickBot="1" x14ac:dyDescent="0.3">
      <c r="A4" s="51"/>
      <c r="B4" s="76"/>
      <c r="C4" s="77"/>
      <c r="D4" s="77"/>
      <c r="E4" s="77"/>
      <c r="F4" s="77"/>
      <c r="G4" s="77"/>
      <c r="H4" s="78"/>
      <c r="I4" s="15"/>
      <c r="J4" s="59"/>
      <c r="K4" s="57"/>
      <c r="L4" s="57"/>
      <c r="M4" s="57"/>
      <c r="N4" s="57"/>
      <c r="O4" s="57"/>
      <c r="P4" s="57"/>
      <c r="Q4" s="62"/>
      <c r="R4" s="14" t="s">
        <v>27</v>
      </c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</row>
    <row r="5" spans="1:54" ht="14.1" customHeight="1" thickTop="1" x14ac:dyDescent="0.25">
      <c r="A5" s="12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</row>
    <row r="6" spans="1:54" ht="15" customHeight="1" x14ac:dyDescent="0.25">
      <c r="A6" s="6"/>
      <c r="B6" s="6"/>
      <c r="C6" s="6"/>
      <c r="D6" s="6"/>
      <c r="E6" s="6"/>
      <c r="F6" s="6"/>
      <c r="G6" s="16"/>
      <c r="H6" s="16"/>
      <c r="I6" s="6"/>
      <c r="J6" s="66" t="s">
        <v>24</v>
      </c>
      <c r="K6" s="67"/>
      <c r="L6" s="67"/>
      <c r="M6" s="67"/>
      <c r="N6" s="67"/>
      <c r="O6" s="67"/>
      <c r="P6" s="67"/>
      <c r="Q6" s="68"/>
      <c r="R6" s="6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</row>
    <row r="7" spans="1:54" x14ac:dyDescent="0.25">
      <c r="A7" s="6"/>
      <c r="B7" s="6"/>
      <c r="C7" s="6"/>
      <c r="D7" s="6"/>
      <c r="E7" s="17"/>
      <c r="F7" s="6"/>
      <c r="G7" s="6"/>
      <c r="H7" s="6"/>
      <c r="I7" s="6"/>
      <c r="J7" s="64" t="s">
        <v>8</v>
      </c>
      <c r="K7" s="65"/>
      <c r="L7" s="64" t="s">
        <v>9</v>
      </c>
      <c r="M7" s="65"/>
      <c r="N7" s="64" t="s">
        <v>10</v>
      </c>
      <c r="O7" s="65"/>
      <c r="P7" s="64" t="s">
        <v>11</v>
      </c>
      <c r="Q7" s="65"/>
      <c r="R7" s="6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</row>
    <row r="8" spans="1:54" x14ac:dyDescent="0.25">
      <c r="A8" s="6"/>
      <c r="B8" s="7"/>
      <c r="C8" s="49" t="s">
        <v>26</v>
      </c>
      <c r="D8" s="8" t="s">
        <v>1</v>
      </c>
      <c r="E8" s="8" t="s">
        <v>2</v>
      </c>
      <c r="F8" s="8" t="s">
        <v>3</v>
      </c>
      <c r="G8" s="8" t="s">
        <v>4</v>
      </c>
      <c r="H8" s="8" t="s">
        <v>5</v>
      </c>
      <c r="I8" s="8" t="s">
        <v>6</v>
      </c>
      <c r="J8" s="8" t="s">
        <v>7</v>
      </c>
      <c r="K8" s="8" t="s">
        <v>25</v>
      </c>
      <c r="L8" s="8" t="s">
        <v>7</v>
      </c>
      <c r="M8" s="8" t="s">
        <v>25</v>
      </c>
      <c r="N8" s="8" t="s">
        <v>7</v>
      </c>
      <c r="O8" s="8" t="s">
        <v>25</v>
      </c>
      <c r="P8" s="8" t="s">
        <v>7</v>
      </c>
      <c r="Q8" s="8" t="s">
        <v>25</v>
      </c>
      <c r="R8" s="18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</row>
    <row r="9" spans="1:54" x14ac:dyDescent="0.25">
      <c r="A9" s="6"/>
      <c r="B9" s="9" t="s">
        <v>0</v>
      </c>
      <c r="C9" s="1">
        <v>30</v>
      </c>
      <c r="D9" s="1"/>
      <c r="E9" s="1"/>
      <c r="F9" s="50">
        <f t="shared" ref="F9:F20" si="0">R91</f>
        <v>0</v>
      </c>
      <c r="G9" s="50">
        <f t="shared" ref="G9:G20" si="1">R91</f>
        <v>0</v>
      </c>
      <c r="H9" s="1"/>
      <c r="I9" s="1"/>
      <c r="J9" s="1"/>
      <c r="K9" s="1"/>
      <c r="L9" s="1"/>
      <c r="M9" s="1"/>
      <c r="N9" s="1"/>
      <c r="O9" s="1"/>
      <c r="P9" s="1">
        <v>60</v>
      </c>
      <c r="Q9" s="1"/>
      <c r="R9" s="6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</row>
    <row r="10" spans="1:54" x14ac:dyDescent="0.25">
      <c r="A10" s="6"/>
      <c r="B10" s="8" t="s">
        <v>13</v>
      </c>
      <c r="C10" s="1">
        <v>50</v>
      </c>
      <c r="D10" s="1"/>
      <c r="E10" s="1"/>
      <c r="F10" s="50">
        <f t="shared" si="0"/>
        <v>0</v>
      </c>
      <c r="G10" s="50">
        <f t="shared" si="1"/>
        <v>0</v>
      </c>
      <c r="H10" s="1"/>
      <c r="I10" s="1"/>
      <c r="J10" s="1">
        <v>40</v>
      </c>
      <c r="K10" s="1"/>
      <c r="L10" s="1">
        <v>40</v>
      </c>
      <c r="M10" s="1"/>
      <c r="N10" s="1">
        <v>40</v>
      </c>
      <c r="O10" s="1"/>
      <c r="P10" s="1"/>
      <c r="Q10" s="1"/>
      <c r="R10" s="6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</row>
    <row r="11" spans="1:54" x14ac:dyDescent="0.25">
      <c r="A11" s="6"/>
      <c r="B11" s="8" t="s">
        <v>14</v>
      </c>
      <c r="C11" s="1">
        <v>120</v>
      </c>
      <c r="D11" s="1"/>
      <c r="E11" s="1"/>
      <c r="F11" s="50">
        <f t="shared" si="0"/>
        <v>0</v>
      </c>
      <c r="G11" s="50">
        <f t="shared" si="1"/>
        <v>0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6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</row>
    <row r="12" spans="1:54" x14ac:dyDescent="0.25">
      <c r="A12" s="6"/>
      <c r="B12" s="8" t="s">
        <v>15</v>
      </c>
      <c r="C12" s="1">
        <v>10</v>
      </c>
      <c r="D12" s="1"/>
      <c r="E12" s="1"/>
      <c r="F12" s="50">
        <f t="shared" si="0"/>
        <v>0</v>
      </c>
      <c r="G12" s="50">
        <f t="shared" si="1"/>
        <v>0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6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</row>
    <row r="13" spans="1:54" x14ac:dyDescent="0.25">
      <c r="A13" s="6"/>
      <c r="B13" s="8" t="s">
        <v>16</v>
      </c>
      <c r="C13" s="1">
        <v>1</v>
      </c>
      <c r="D13" s="1"/>
      <c r="E13" s="1"/>
      <c r="F13" s="50">
        <f t="shared" si="0"/>
        <v>1</v>
      </c>
      <c r="G13" s="50">
        <f t="shared" si="1"/>
        <v>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6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</row>
    <row r="14" spans="1:54" x14ac:dyDescent="0.25">
      <c r="A14" s="6"/>
      <c r="B14" s="8" t="s">
        <v>17</v>
      </c>
      <c r="C14" s="1">
        <v>80</v>
      </c>
      <c r="D14" s="1"/>
      <c r="E14" s="1"/>
      <c r="F14" s="50">
        <f t="shared" si="0"/>
        <v>1</v>
      </c>
      <c r="G14" s="50">
        <f t="shared" si="1"/>
        <v>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6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</row>
    <row r="15" spans="1:54" x14ac:dyDescent="0.25">
      <c r="A15" s="6"/>
      <c r="B15" s="8" t="s">
        <v>18</v>
      </c>
      <c r="C15" s="1">
        <v>10</v>
      </c>
      <c r="D15" s="1"/>
      <c r="E15" s="1"/>
      <c r="F15" s="50">
        <f t="shared" si="0"/>
        <v>1</v>
      </c>
      <c r="G15" s="50">
        <f t="shared" si="1"/>
        <v>1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6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54" x14ac:dyDescent="0.25">
      <c r="A16" s="6"/>
      <c r="B16" s="8" t="s">
        <v>19</v>
      </c>
      <c r="C16" s="1">
        <v>45</v>
      </c>
      <c r="D16" s="1"/>
      <c r="E16" s="1"/>
      <c r="F16" s="50">
        <f t="shared" si="0"/>
        <v>1</v>
      </c>
      <c r="G16" s="50">
        <f t="shared" si="1"/>
        <v>1</v>
      </c>
      <c r="H16" s="1"/>
      <c r="I16" s="1"/>
      <c r="J16" s="1"/>
      <c r="K16" s="1"/>
      <c r="L16" s="1"/>
      <c r="M16" s="1"/>
      <c r="N16" s="1"/>
      <c r="O16" s="1"/>
      <c r="P16" s="1">
        <v>80</v>
      </c>
      <c r="Q16" s="1"/>
      <c r="R16" s="6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</row>
    <row r="17" spans="1:54" x14ac:dyDescent="0.25">
      <c r="A17" s="6"/>
      <c r="B17" s="8" t="s">
        <v>20</v>
      </c>
      <c r="C17" s="1"/>
      <c r="D17" s="1"/>
      <c r="E17" s="1"/>
      <c r="F17" s="50">
        <f t="shared" si="0"/>
        <v>0</v>
      </c>
      <c r="G17" s="50">
        <f t="shared" si="1"/>
        <v>0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6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6"/>
      <c r="B18" s="8" t="s">
        <v>21</v>
      </c>
      <c r="C18" s="1"/>
      <c r="D18" s="1"/>
      <c r="E18" s="1"/>
      <c r="F18" s="50">
        <f t="shared" si="0"/>
        <v>0</v>
      </c>
      <c r="G18" s="50">
        <f t="shared" si="1"/>
        <v>0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6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6"/>
      <c r="B19" s="8" t="s">
        <v>22</v>
      </c>
      <c r="C19" s="1"/>
      <c r="D19" s="1"/>
      <c r="E19" s="1"/>
      <c r="F19" s="50">
        <f t="shared" si="0"/>
        <v>0</v>
      </c>
      <c r="G19" s="50">
        <f t="shared" si="1"/>
        <v>0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6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6"/>
      <c r="B20" s="8" t="s">
        <v>23</v>
      </c>
      <c r="C20" s="1"/>
      <c r="D20" s="1"/>
      <c r="E20" s="1"/>
      <c r="F20" s="50">
        <f t="shared" si="0"/>
        <v>0</v>
      </c>
      <c r="G20" s="50">
        <f t="shared" si="1"/>
        <v>0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6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6"/>
      <c r="B22" s="79" t="s">
        <v>68</v>
      </c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1"/>
      <c r="R22" s="6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4"/>
      <c r="AC65" s="4"/>
      <c r="AD65" s="4"/>
      <c r="AE65" s="4"/>
      <c r="AF65" s="4"/>
      <c r="AG65" s="4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6"/>
      <c r="B89" s="6"/>
      <c r="C89" s="6"/>
      <c r="D89" s="6"/>
      <c r="E89" s="6"/>
      <c r="F89" s="6"/>
      <c r="G89" s="6"/>
      <c r="H89" s="6"/>
      <c r="I89" s="6"/>
      <c r="J89" s="64" t="s">
        <v>8</v>
      </c>
      <c r="K89" s="65"/>
      <c r="L89" s="64" t="s">
        <v>9</v>
      </c>
      <c r="M89" s="65"/>
      <c r="N89" s="64" t="s">
        <v>10</v>
      </c>
      <c r="O89" s="65"/>
      <c r="P89" s="64" t="s">
        <v>11</v>
      </c>
      <c r="Q89" s="65"/>
      <c r="R89" s="6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6"/>
      <c r="B90" s="7"/>
      <c r="C90" s="49" t="s">
        <v>26</v>
      </c>
      <c r="D90" s="8" t="s">
        <v>1</v>
      </c>
      <c r="E90" s="8" t="s">
        <v>2</v>
      </c>
      <c r="F90" s="8" t="s">
        <v>3</v>
      </c>
      <c r="G90" s="8" t="s">
        <v>4</v>
      </c>
      <c r="H90" s="8" t="s">
        <v>5</v>
      </c>
      <c r="I90" s="8" t="s">
        <v>6</v>
      </c>
      <c r="J90" s="8" t="s">
        <v>7</v>
      </c>
      <c r="K90" s="8" t="s">
        <v>25</v>
      </c>
      <c r="L90" s="8" t="s">
        <v>7</v>
      </c>
      <c r="M90" s="8" t="s">
        <v>25</v>
      </c>
      <c r="N90" s="8" t="s">
        <v>7</v>
      </c>
      <c r="O90" s="8" t="s">
        <v>25</v>
      </c>
      <c r="P90" s="8" t="s">
        <v>7</v>
      </c>
      <c r="Q90" s="8" t="s">
        <v>25</v>
      </c>
      <c r="R90" s="6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6"/>
      <c r="B91" s="9" t="s">
        <v>0</v>
      </c>
      <c r="C91" s="19">
        <f t="shared" ref="C91:C102" si="2">C9</f>
        <v>30</v>
      </c>
      <c r="D91" s="19" t="b">
        <v>0</v>
      </c>
      <c r="E91" s="19" t="b">
        <v>0</v>
      </c>
      <c r="F91" s="19" t="b">
        <v>0</v>
      </c>
      <c r="G91" s="19" t="b">
        <v>0</v>
      </c>
      <c r="H91" s="19" t="b">
        <v>0</v>
      </c>
      <c r="I91" s="19" t="b">
        <v>0</v>
      </c>
      <c r="J91" s="19">
        <f t="shared" ref="J91:J102" si="3">J9</f>
        <v>0</v>
      </c>
      <c r="K91" s="19" t="b">
        <v>0</v>
      </c>
      <c r="L91" s="19">
        <f t="shared" ref="L91:L102" si="4">L9</f>
        <v>0</v>
      </c>
      <c r="M91" s="19" t="b">
        <v>0</v>
      </c>
      <c r="N91" s="19">
        <f t="shared" ref="N91:N102" si="5">N9</f>
        <v>0</v>
      </c>
      <c r="O91" s="19" t="b">
        <v>0</v>
      </c>
      <c r="P91" s="19">
        <f t="shared" ref="P91:P102" si="6">P9</f>
        <v>60</v>
      </c>
      <c r="Q91" s="19" t="b">
        <v>1</v>
      </c>
      <c r="R91" s="14">
        <f>F91+G91</f>
        <v>0</v>
      </c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6"/>
      <c r="B92" s="8" t="s">
        <v>13</v>
      </c>
      <c r="C92" s="19">
        <f t="shared" si="2"/>
        <v>50</v>
      </c>
      <c r="D92" s="19" t="b">
        <v>0</v>
      </c>
      <c r="E92" s="19" t="b">
        <v>0</v>
      </c>
      <c r="F92" s="19" t="b">
        <v>0</v>
      </c>
      <c r="G92" s="19" t="b">
        <v>0</v>
      </c>
      <c r="H92" s="19" t="b">
        <v>0</v>
      </c>
      <c r="I92" s="19" t="b">
        <v>0</v>
      </c>
      <c r="J92" s="19">
        <f t="shared" si="3"/>
        <v>40</v>
      </c>
      <c r="K92" s="19" t="b">
        <v>0</v>
      </c>
      <c r="L92" s="19">
        <f t="shared" si="4"/>
        <v>40</v>
      </c>
      <c r="M92" s="19" t="b">
        <v>0</v>
      </c>
      <c r="N92" s="19">
        <f t="shared" si="5"/>
        <v>40</v>
      </c>
      <c r="O92" s="19" t="b">
        <v>0</v>
      </c>
      <c r="P92" s="19">
        <f t="shared" si="6"/>
        <v>0</v>
      </c>
      <c r="Q92" s="19" t="b">
        <v>0</v>
      </c>
      <c r="R92" s="14">
        <f t="shared" ref="R92:R102" si="7">F92+G92</f>
        <v>0</v>
      </c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6"/>
      <c r="B93" s="8" t="s">
        <v>14</v>
      </c>
      <c r="C93" s="19">
        <f t="shared" si="2"/>
        <v>120</v>
      </c>
      <c r="D93" s="19" t="b">
        <v>0</v>
      </c>
      <c r="E93" s="19" t="b">
        <v>0</v>
      </c>
      <c r="F93" s="19" t="b">
        <v>0</v>
      </c>
      <c r="G93" s="19" t="b">
        <v>0</v>
      </c>
      <c r="H93" s="19" t="b">
        <v>0</v>
      </c>
      <c r="I93" s="19" t="b">
        <v>0</v>
      </c>
      <c r="J93" s="19">
        <f t="shared" si="3"/>
        <v>0</v>
      </c>
      <c r="K93" s="19" t="b">
        <v>0</v>
      </c>
      <c r="L93" s="19">
        <f t="shared" si="4"/>
        <v>0</v>
      </c>
      <c r="M93" s="19" t="b">
        <v>0</v>
      </c>
      <c r="N93" s="19">
        <f t="shared" si="5"/>
        <v>0</v>
      </c>
      <c r="O93" s="19" t="b">
        <v>0</v>
      </c>
      <c r="P93" s="19">
        <f t="shared" si="6"/>
        <v>0</v>
      </c>
      <c r="Q93" s="19" t="b">
        <v>0</v>
      </c>
      <c r="R93" s="14">
        <f t="shared" si="7"/>
        <v>0</v>
      </c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6"/>
      <c r="B94" s="8" t="s">
        <v>15</v>
      </c>
      <c r="C94" s="19">
        <f t="shared" si="2"/>
        <v>10</v>
      </c>
      <c r="D94" s="19" t="b">
        <v>0</v>
      </c>
      <c r="E94" s="19" t="b">
        <v>1</v>
      </c>
      <c r="F94" s="19" t="b">
        <v>0</v>
      </c>
      <c r="G94" s="19" t="b">
        <v>0</v>
      </c>
      <c r="H94" s="19" t="b">
        <v>0</v>
      </c>
      <c r="I94" s="19" t="b">
        <v>0</v>
      </c>
      <c r="J94" s="19">
        <f t="shared" si="3"/>
        <v>0</v>
      </c>
      <c r="K94" s="19" t="b">
        <v>0</v>
      </c>
      <c r="L94" s="19">
        <f t="shared" si="4"/>
        <v>0</v>
      </c>
      <c r="M94" s="19" t="b">
        <v>0</v>
      </c>
      <c r="N94" s="19">
        <f t="shared" si="5"/>
        <v>0</v>
      </c>
      <c r="O94" s="19" t="b">
        <v>0</v>
      </c>
      <c r="P94" s="19">
        <f t="shared" si="6"/>
        <v>0</v>
      </c>
      <c r="Q94" s="19" t="b">
        <v>0</v>
      </c>
      <c r="R94" s="14">
        <f t="shared" si="7"/>
        <v>0</v>
      </c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6"/>
      <c r="B95" s="8" t="s">
        <v>16</v>
      </c>
      <c r="C95" s="19">
        <f t="shared" si="2"/>
        <v>1</v>
      </c>
      <c r="D95" s="19" t="b">
        <v>1</v>
      </c>
      <c r="E95" s="19" t="b">
        <v>1</v>
      </c>
      <c r="F95" s="19" t="b">
        <v>1</v>
      </c>
      <c r="G95" s="19" t="b">
        <v>0</v>
      </c>
      <c r="H95" s="19" t="b">
        <v>0</v>
      </c>
      <c r="I95" s="19" t="b">
        <v>0</v>
      </c>
      <c r="J95" s="19">
        <f t="shared" si="3"/>
        <v>0</v>
      </c>
      <c r="K95" s="19" t="b">
        <v>0</v>
      </c>
      <c r="L95" s="19">
        <f t="shared" si="4"/>
        <v>0</v>
      </c>
      <c r="M95" s="19" t="b">
        <v>0</v>
      </c>
      <c r="N95" s="19">
        <f t="shared" si="5"/>
        <v>0</v>
      </c>
      <c r="O95" s="19" t="b">
        <v>0</v>
      </c>
      <c r="P95" s="19">
        <f t="shared" si="6"/>
        <v>0</v>
      </c>
      <c r="Q95" s="19" t="b">
        <v>0</v>
      </c>
      <c r="R95" s="14">
        <f t="shared" si="7"/>
        <v>1</v>
      </c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6"/>
      <c r="B96" s="8" t="s">
        <v>17</v>
      </c>
      <c r="C96" s="19">
        <f t="shared" si="2"/>
        <v>80</v>
      </c>
      <c r="D96" s="19" t="b">
        <v>0</v>
      </c>
      <c r="E96" s="19" t="b">
        <v>1</v>
      </c>
      <c r="F96" s="19" t="b">
        <v>1</v>
      </c>
      <c r="G96" s="19" t="b">
        <v>0</v>
      </c>
      <c r="H96" s="19" t="b">
        <v>0</v>
      </c>
      <c r="I96" s="19" t="b">
        <v>0</v>
      </c>
      <c r="J96" s="19">
        <f t="shared" si="3"/>
        <v>0</v>
      </c>
      <c r="K96" s="19" t="b">
        <v>0</v>
      </c>
      <c r="L96" s="19">
        <f t="shared" si="4"/>
        <v>0</v>
      </c>
      <c r="M96" s="19" t="b">
        <v>0</v>
      </c>
      <c r="N96" s="19">
        <f t="shared" si="5"/>
        <v>0</v>
      </c>
      <c r="O96" s="19" t="b">
        <v>0</v>
      </c>
      <c r="P96" s="19">
        <f t="shared" si="6"/>
        <v>0</v>
      </c>
      <c r="Q96" s="19" t="b">
        <v>0</v>
      </c>
      <c r="R96" s="14">
        <f t="shared" si="7"/>
        <v>1</v>
      </c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6"/>
      <c r="B97" s="8" t="s">
        <v>18</v>
      </c>
      <c r="C97" s="19">
        <f t="shared" si="2"/>
        <v>10</v>
      </c>
      <c r="D97" s="19" t="b">
        <v>0</v>
      </c>
      <c r="E97" s="19" t="b">
        <v>1</v>
      </c>
      <c r="F97" s="19" t="b">
        <v>1</v>
      </c>
      <c r="G97" s="19" t="b">
        <v>0</v>
      </c>
      <c r="H97" s="19" t="b">
        <v>0</v>
      </c>
      <c r="I97" s="19" t="b">
        <v>0</v>
      </c>
      <c r="J97" s="19">
        <f t="shared" si="3"/>
        <v>0</v>
      </c>
      <c r="K97" s="19" t="b">
        <v>0</v>
      </c>
      <c r="L97" s="19">
        <f t="shared" si="4"/>
        <v>0</v>
      </c>
      <c r="M97" s="19" t="b">
        <v>0</v>
      </c>
      <c r="N97" s="19">
        <f t="shared" si="5"/>
        <v>0</v>
      </c>
      <c r="O97" s="19" t="b">
        <v>0</v>
      </c>
      <c r="P97" s="19">
        <f t="shared" si="6"/>
        <v>0</v>
      </c>
      <c r="Q97" s="19" t="b">
        <v>0</v>
      </c>
      <c r="R97" s="14">
        <f t="shared" si="7"/>
        <v>1</v>
      </c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6"/>
      <c r="B98" s="8" t="s">
        <v>19</v>
      </c>
      <c r="C98" s="19">
        <f t="shared" si="2"/>
        <v>45</v>
      </c>
      <c r="D98" s="19" t="b">
        <v>0</v>
      </c>
      <c r="E98" s="19" t="b">
        <v>1</v>
      </c>
      <c r="F98" s="19" t="b">
        <v>1</v>
      </c>
      <c r="G98" s="19" t="b">
        <v>0</v>
      </c>
      <c r="H98" s="19" t="b">
        <v>0</v>
      </c>
      <c r="I98" s="19" t="b">
        <v>0</v>
      </c>
      <c r="J98" s="19">
        <f t="shared" si="3"/>
        <v>0</v>
      </c>
      <c r="K98" s="19" t="b">
        <v>0</v>
      </c>
      <c r="L98" s="19">
        <f t="shared" si="4"/>
        <v>0</v>
      </c>
      <c r="M98" s="19" t="b">
        <v>0</v>
      </c>
      <c r="N98" s="19">
        <f t="shared" si="5"/>
        <v>0</v>
      </c>
      <c r="O98" s="19" t="b">
        <v>0</v>
      </c>
      <c r="P98" s="19">
        <f t="shared" si="6"/>
        <v>80</v>
      </c>
      <c r="Q98" s="19" t="b">
        <v>1</v>
      </c>
      <c r="R98" s="14">
        <f t="shared" si="7"/>
        <v>1</v>
      </c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6"/>
      <c r="B99" s="8" t="s">
        <v>20</v>
      </c>
      <c r="C99" s="19">
        <f t="shared" si="2"/>
        <v>0</v>
      </c>
      <c r="D99" s="19" t="b">
        <v>0</v>
      </c>
      <c r="E99" s="19" t="b">
        <v>0</v>
      </c>
      <c r="F99" s="19" t="b">
        <v>0</v>
      </c>
      <c r="G99" s="19" t="b">
        <v>0</v>
      </c>
      <c r="H99" s="19" t="b">
        <v>0</v>
      </c>
      <c r="I99" s="19" t="b">
        <v>0</v>
      </c>
      <c r="J99" s="19">
        <f t="shared" si="3"/>
        <v>0</v>
      </c>
      <c r="K99" s="19" t="b">
        <v>0</v>
      </c>
      <c r="L99" s="19">
        <f t="shared" si="4"/>
        <v>0</v>
      </c>
      <c r="M99" s="19" t="b">
        <v>0</v>
      </c>
      <c r="N99" s="19">
        <f t="shared" si="5"/>
        <v>0</v>
      </c>
      <c r="O99" s="19" t="b">
        <v>0</v>
      </c>
      <c r="P99" s="19">
        <f t="shared" si="6"/>
        <v>0</v>
      </c>
      <c r="Q99" s="19" t="b">
        <v>0</v>
      </c>
      <c r="R99" s="14">
        <f t="shared" si="7"/>
        <v>0</v>
      </c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6"/>
      <c r="B100" s="8" t="s">
        <v>21</v>
      </c>
      <c r="C100" s="19">
        <f t="shared" si="2"/>
        <v>0</v>
      </c>
      <c r="D100" s="19" t="b">
        <v>0</v>
      </c>
      <c r="E100" s="19" t="b">
        <v>0</v>
      </c>
      <c r="F100" s="19" t="b">
        <v>0</v>
      </c>
      <c r="G100" s="19" t="b">
        <v>0</v>
      </c>
      <c r="H100" s="19" t="b">
        <v>0</v>
      </c>
      <c r="I100" s="19" t="b">
        <v>0</v>
      </c>
      <c r="J100" s="19">
        <f t="shared" si="3"/>
        <v>0</v>
      </c>
      <c r="K100" s="19" t="b">
        <v>0</v>
      </c>
      <c r="L100" s="19">
        <f t="shared" si="4"/>
        <v>0</v>
      </c>
      <c r="M100" s="19" t="b">
        <v>0</v>
      </c>
      <c r="N100" s="19">
        <f t="shared" si="5"/>
        <v>0</v>
      </c>
      <c r="O100" s="19" t="b">
        <v>0</v>
      </c>
      <c r="P100" s="19">
        <f t="shared" si="6"/>
        <v>0</v>
      </c>
      <c r="Q100" s="19" t="b">
        <v>0</v>
      </c>
      <c r="R100" s="14">
        <f t="shared" si="7"/>
        <v>0</v>
      </c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6"/>
      <c r="B101" s="8" t="s">
        <v>22</v>
      </c>
      <c r="C101" s="19">
        <f t="shared" si="2"/>
        <v>0</v>
      </c>
      <c r="D101" s="19" t="b">
        <v>0</v>
      </c>
      <c r="E101" s="19" t="b">
        <v>0</v>
      </c>
      <c r="F101" s="19" t="b">
        <v>0</v>
      </c>
      <c r="G101" s="19" t="b">
        <v>0</v>
      </c>
      <c r="H101" s="19" t="b">
        <v>0</v>
      </c>
      <c r="I101" s="19" t="b">
        <v>0</v>
      </c>
      <c r="J101" s="19">
        <f t="shared" si="3"/>
        <v>0</v>
      </c>
      <c r="K101" s="19" t="b">
        <v>0</v>
      </c>
      <c r="L101" s="19">
        <f t="shared" si="4"/>
        <v>0</v>
      </c>
      <c r="M101" s="19" t="b">
        <v>0</v>
      </c>
      <c r="N101" s="19">
        <f t="shared" si="5"/>
        <v>0</v>
      </c>
      <c r="O101" s="19" t="b">
        <v>0</v>
      </c>
      <c r="P101" s="19">
        <f t="shared" si="6"/>
        <v>0</v>
      </c>
      <c r="Q101" s="19" t="b">
        <v>0</v>
      </c>
      <c r="R101" s="14">
        <f t="shared" si="7"/>
        <v>0</v>
      </c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6"/>
      <c r="B102" s="8" t="s">
        <v>23</v>
      </c>
      <c r="C102" s="19">
        <f t="shared" si="2"/>
        <v>0</v>
      </c>
      <c r="D102" s="19" t="b">
        <v>0</v>
      </c>
      <c r="E102" s="19" t="b">
        <v>0</v>
      </c>
      <c r="F102" s="19" t="b">
        <v>0</v>
      </c>
      <c r="G102" s="19" t="b">
        <v>0</v>
      </c>
      <c r="H102" s="19" t="b">
        <v>0</v>
      </c>
      <c r="I102" s="19" t="b">
        <v>0</v>
      </c>
      <c r="J102" s="19">
        <f t="shared" si="3"/>
        <v>0</v>
      </c>
      <c r="K102" s="19" t="b">
        <v>0</v>
      </c>
      <c r="L102" s="19">
        <f t="shared" si="4"/>
        <v>0</v>
      </c>
      <c r="M102" s="19" t="b">
        <v>0</v>
      </c>
      <c r="N102" s="19">
        <f t="shared" si="5"/>
        <v>0</v>
      </c>
      <c r="O102" s="19" t="b">
        <v>0</v>
      </c>
      <c r="P102" s="19">
        <f t="shared" si="6"/>
        <v>0</v>
      </c>
      <c r="Q102" s="19" t="b">
        <v>0</v>
      </c>
      <c r="R102" s="14">
        <f t="shared" si="7"/>
        <v>0</v>
      </c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4" t="s">
        <v>8</v>
      </c>
      <c r="K106" s="65"/>
      <c r="L106" s="64" t="s">
        <v>9</v>
      </c>
      <c r="M106" s="65"/>
      <c r="N106" s="64" t="s">
        <v>10</v>
      </c>
      <c r="O106" s="65"/>
      <c r="P106" s="64" t="s">
        <v>11</v>
      </c>
      <c r="Q106" s="65"/>
      <c r="R106" s="6"/>
      <c r="S106" s="6"/>
      <c r="T106" s="6"/>
      <c r="U106" s="6"/>
      <c r="V106" s="6"/>
      <c r="W106" s="6"/>
      <c r="X106" s="6"/>
      <c r="Y106" s="6"/>
      <c r="Z106" s="6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6"/>
      <c r="B107" s="7"/>
      <c r="C107" s="49" t="s">
        <v>26</v>
      </c>
      <c r="D107" s="8" t="s">
        <v>1</v>
      </c>
      <c r="E107" s="8" t="s">
        <v>2</v>
      </c>
      <c r="F107" s="8" t="s">
        <v>3</v>
      </c>
      <c r="G107" s="8" t="s">
        <v>4</v>
      </c>
      <c r="H107" s="8" t="s">
        <v>5</v>
      </c>
      <c r="I107" s="8" t="s">
        <v>6</v>
      </c>
      <c r="J107" s="8" t="s">
        <v>7</v>
      </c>
      <c r="K107" s="8" t="s">
        <v>25</v>
      </c>
      <c r="L107" s="8" t="s">
        <v>7</v>
      </c>
      <c r="M107" s="8" t="s">
        <v>25</v>
      </c>
      <c r="N107" s="8" t="s">
        <v>7</v>
      </c>
      <c r="O107" s="8" t="s">
        <v>25</v>
      </c>
      <c r="P107" s="8" t="s">
        <v>7</v>
      </c>
      <c r="Q107" s="8" t="s">
        <v>25</v>
      </c>
      <c r="R107" s="6">
        <v>1</v>
      </c>
      <c r="S107" s="69" t="str">
        <f>_xlfn.CONCAT(C108,$C$121,C109,$C$121,C110,$C$121,C111,$C$121,C112,$C$121,C113,$C$121,C114,$C$121,C115,$C$121,C116,$C$121,C117,$C$121,C118,$C$121,C119,$C$121)</f>
        <v xml:space="preserve">31 731 1481 2051 2722 3481 4091 4806 5441 6121 6801 7481 </v>
      </c>
      <c r="T107" s="69"/>
      <c r="U107" s="69"/>
      <c r="V107" s="69"/>
      <c r="W107" s="69"/>
      <c r="X107" s="69"/>
      <c r="Y107" s="69"/>
      <c r="Z107" s="6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6"/>
      <c r="B108" s="9" t="s">
        <v>0</v>
      </c>
      <c r="C108" s="10">
        <f>C91+1</f>
        <v>31</v>
      </c>
      <c r="D108" s="10">
        <f>IF(D91,257,258)</f>
        <v>258</v>
      </c>
      <c r="E108" s="10">
        <f>IF(E91,259,260)</f>
        <v>260</v>
      </c>
      <c r="F108" s="10">
        <f>IF(F91,261,262)</f>
        <v>262</v>
      </c>
      <c r="G108" s="10">
        <f>IF(G91,263,264)</f>
        <v>264</v>
      </c>
      <c r="H108" s="10">
        <f>IF(H91,265,266)</f>
        <v>266</v>
      </c>
      <c r="I108" s="10">
        <f>IF(I91,267,268)</f>
        <v>268</v>
      </c>
      <c r="J108" s="10">
        <f>269+J91</f>
        <v>269</v>
      </c>
      <c r="K108" s="10">
        <f>IF(K91,370,371)</f>
        <v>371</v>
      </c>
      <c r="L108" s="10">
        <f>372+L91</f>
        <v>372</v>
      </c>
      <c r="M108" s="10">
        <f>IF(M91,473,474)</f>
        <v>474</v>
      </c>
      <c r="N108" s="10">
        <f>475+N91</f>
        <v>475</v>
      </c>
      <c r="O108" s="10">
        <f>IF(O91,576,577)</f>
        <v>577</v>
      </c>
      <c r="P108" s="10">
        <f>578+P91</f>
        <v>638</v>
      </c>
      <c r="Q108" s="10">
        <f>IF(Q91,679,680)</f>
        <v>679</v>
      </c>
      <c r="R108" s="6">
        <v>2</v>
      </c>
      <c r="S108" s="69" t="str">
        <f>_xlfn.CONCAT(D108,$C$121,D109,$C$121,D110,$C$121,D111,$C$121,D112,$C$121,D113,$C$121,D114,$C$121,D115,$C$121,D116,$C$121,D117,$C$121,D118,$C$121,D119,$C$121)</f>
        <v xml:space="preserve">258 938 1618 2298 2977 3658 4338 5018 5698 6378 7058 7738 </v>
      </c>
      <c r="T108" s="69"/>
      <c r="U108" s="69"/>
      <c r="V108" s="69"/>
      <c r="W108" s="69"/>
      <c r="X108" s="69"/>
      <c r="Y108" s="69"/>
      <c r="Z108" s="6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6"/>
      <c r="B109" s="8" t="s">
        <v>13</v>
      </c>
      <c r="C109" s="10">
        <f>C92+681</f>
        <v>731</v>
      </c>
      <c r="D109" s="10">
        <f>IF(D92,937,938)</f>
        <v>938</v>
      </c>
      <c r="E109" s="10">
        <f>IF(E92,939,940)</f>
        <v>940</v>
      </c>
      <c r="F109" s="10">
        <f>IF(F92,941,942)</f>
        <v>942</v>
      </c>
      <c r="G109" s="10">
        <f>IF(G92,943,944)</f>
        <v>944</v>
      </c>
      <c r="H109" s="10">
        <f>IF(H92,945,946)</f>
        <v>946</v>
      </c>
      <c r="I109" s="10">
        <f>IF(I92,947,948)</f>
        <v>948</v>
      </c>
      <c r="J109" s="10">
        <f>949+J92</f>
        <v>989</v>
      </c>
      <c r="K109" s="10">
        <f>IF(K92,1050,1051)</f>
        <v>1051</v>
      </c>
      <c r="L109" s="10">
        <f>1052+L92</f>
        <v>1092</v>
      </c>
      <c r="M109" s="10">
        <f>IF(M92,1153,1154)</f>
        <v>1154</v>
      </c>
      <c r="N109" s="10">
        <f>1155+N92</f>
        <v>1195</v>
      </c>
      <c r="O109" s="10">
        <f>IF(O92,1256,1257)</f>
        <v>1257</v>
      </c>
      <c r="P109" s="10">
        <f>1258+P92</f>
        <v>1258</v>
      </c>
      <c r="Q109" s="10">
        <f>IF(Q92,1359,1360)</f>
        <v>1360</v>
      </c>
      <c r="R109" s="6">
        <v>3</v>
      </c>
      <c r="S109" s="69" t="str">
        <f>_xlfn.CONCAT(E108,$C$121,E109,$C$121,E110,$C$121,E111,$C$121,E112,$C$121,E113,$C$121,E114,$C$121,E115,$C$121,E116,$C$121,E117,$C$121,E118,$C$121,E119,$C$121)</f>
        <v xml:space="preserve">260 940 1620 2299 2979 3659 4339 5019 5700 6380 7060 7740 </v>
      </c>
      <c r="T109" s="69"/>
      <c r="U109" s="69"/>
      <c r="V109" s="69"/>
      <c r="W109" s="69"/>
      <c r="X109" s="69"/>
      <c r="Y109" s="69"/>
      <c r="Z109" s="6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6"/>
      <c r="B110" s="8" t="s">
        <v>14</v>
      </c>
      <c r="C110" s="10">
        <f>1361+C93</f>
        <v>1481</v>
      </c>
      <c r="D110" s="10">
        <f>IF(D93,1617,1618)</f>
        <v>1618</v>
      </c>
      <c r="E110" s="10">
        <f>IF(E93,1619,1620)</f>
        <v>1620</v>
      </c>
      <c r="F110" s="10">
        <f>IF(F93,1621,1622)</f>
        <v>1622</v>
      </c>
      <c r="G110" s="10">
        <f>IF(G93,1623,1624)</f>
        <v>1624</v>
      </c>
      <c r="H110" s="10">
        <f>IF(H93,1625,1626)</f>
        <v>1626</v>
      </c>
      <c r="I110" s="10">
        <f>IF(I93,1627,1628)</f>
        <v>1628</v>
      </c>
      <c r="J110" s="10">
        <f>1629+J93</f>
        <v>1629</v>
      </c>
      <c r="K110" s="10">
        <f>IF(K93,1730,1731)</f>
        <v>1731</v>
      </c>
      <c r="L110" s="10">
        <f>1732+L93</f>
        <v>1732</v>
      </c>
      <c r="M110" s="10">
        <f>IF(M93,1833,1834)</f>
        <v>1834</v>
      </c>
      <c r="N110" s="10">
        <f>1835+N93</f>
        <v>1835</v>
      </c>
      <c r="O110" s="10">
        <f>IF(O93,1936,1937)</f>
        <v>1937</v>
      </c>
      <c r="P110" s="10">
        <f>1938+P93</f>
        <v>1938</v>
      </c>
      <c r="Q110" s="10">
        <f>IF(Q93,2039,2040)</f>
        <v>2040</v>
      </c>
      <c r="R110" s="6">
        <v>4</v>
      </c>
      <c r="S110" s="69" t="str">
        <f>_xlfn.CONCAT(F108,$C$121,F109,$C$121,F110,$C$121,F111,$C$121,F112,$C$121,F113,$C$121,F114,$C$121,F115,$C$121,F116,$C$121,F117,$C$121,F118,$C$121,F119,$C$121)</f>
        <v xml:space="preserve">262 942 1622 2302 2981 3661 4341 5021 5702 6382 7062 7742 </v>
      </c>
      <c r="T110" s="69"/>
      <c r="U110" s="69"/>
      <c r="V110" s="69"/>
      <c r="W110" s="69"/>
      <c r="X110" s="69"/>
      <c r="Y110" s="69"/>
      <c r="Z110" s="6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6"/>
      <c r="B111" s="8" t="s">
        <v>15</v>
      </c>
      <c r="C111" s="10">
        <f>2041+C94</f>
        <v>2051</v>
      </c>
      <c r="D111" s="10">
        <f>IF(D94,2297,2298)</f>
        <v>2298</v>
      </c>
      <c r="E111" s="10">
        <f>IF(E94,2299,2300)</f>
        <v>2299</v>
      </c>
      <c r="F111" s="10">
        <f>IF(F94,2301,2302)</f>
        <v>2302</v>
      </c>
      <c r="G111" s="10">
        <f>IF(G94,2303,2304)</f>
        <v>2304</v>
      </c>
      <c r="H111" s="10">
        <f>IF(H94,2305,2306)</f>
        <v>2306</v>
      </c>
      <c r="I111" s="10">
        <f>IF(I94,2307,2308)</f>
        <v>2308</v>
      </c>
      <c r="J111" s="10">
        <f>2309+J94</f>
        <v>2309</v>
      </c>
      <c r="K111" s="10">
        <f>IF(K94,2410,2411)</f>
        <v>2411</v>
      </c>
      <c r="L111" s="10">
        <f>2412+L94</f>
        <v>2412</v>
      </c>
      <c r="M111" s="10">
        <f>IF(M94,2513,2514)</f>
        <v>2514</v>
      </c>
      <c r="N111" s="10">
        <f>2515+N94</f>
        <v>2515</v>
      </c>
      <c r="O111" s="10">
        <f>IF(O94,2616,2617)</f>
        <v>2617</v>
      </c>
      <c r="P111" s="10">
        <f>2618+P94</f>
        <v>2618</v>
      </c>
      <c r="Q111" s="10">
        <f>IF(Q94,2719,2720)</f>
        <v>2720</v>
      </c>
      <c r="R111" s="6">
        <v>5</v>
      </c>
      <c r="S111" s="69" t="str">
        <f>_xlfn.CONCAT(G108,$C$121,G109,$C$121,G110,$C$121,G111,$C$121,G112,$C$121,G113,$C$121,G114,$C$121,G115,$C$121,G116,$C$121,G117,$C$121,G118,$C$121,G119,$C$121)</f>
        <v xml:space="preserve">264 944 1624 2304 2984 3664 4344 5024 5704 6384 7064 7744 </v>
      </c>
      <c r="T111" s="69"/>
      <c r="U111" s="69"/>
      <c r="V111" s="69"/>
      <c r="W111" s="69"/>
      <c r="X111" s="69"/>
      <c r="Y111" s="69"/>
      <c r="Z111" s="6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6"/>
      <c r="B112" s="8" t="s">
        <v>16</v>
      </c>
      <c r="C112" s="10">
        <f>2721+C95</f>
        <v>2722</v>
      </c>
      <c r="D112" s="10">
        <f>IF(D95,2977,2978)</f>
        <v>2977</v>
      </c>
      <c r="E112" s="10">
        <f>IF(E95,2979,2980)</f>
        <v>2979</v>
      </c>
      <c r="F112" s="10">
        <f>IF(F95,2981,2982)</f>
        <v>2981</v>
      </c>
      <c r="G112" s="10">
        <f>IF(G95,2983,2984)</f>
        <v>2984</v>
      </c>
      <c r="H112" s="10">
        <f>IF(H95,2985,2986)</f>
        <v>2986</v>
      </c>
      <c r="I112" s="10">
        <f>IF(I95,2987,2988)</f>
        <v>2988</v>
      </c>
      <c r="J112" s="10">
        <f>2989+J95</f>
        <v>2989</v>
      </c>
      <c r="K112" s="10">
        <f>IF(K95,3090,3091)</f>
        <v>3091</v>
      </c>
      <c r="L112" s="10">
        <f>3092+L95</f>
        <v>3092</v>
      </c>
      <c r="M112" s="10">
        <f>IF(M95,3193,3194)</f>
        <v>3194</v>
      </c>
      <c r="N112" s="10">
        <f>3195+N95</f>
        <v>3195</v>
      </c>
      <c r="O112" s="10">
        <f>IF(O95,3296,3297)</f>
        <v>3297</v>
      </c>
      <c r="P112" s="10">
        <f>3298+P95</f>
        <v>3298</v>
      </c>
      <c r="Q112" s="10">
        <f>IF(Q95,3399,3400)</f>
        <v>3400</v>
      </c>
      <c r="R112" s="6">
        <v>6</v>
      </c>
      <c r="S112" s="69" t="str">
        <f>_xlfn.CONCAT(H108,$C$121,H109,$C$121,H110,$C$121,H111,$C$121,H112,$C$121,H113,$C$121,H114,$C$121,H115,$C$121,H116,$C$121,H117,$C$121,H118,$C$121,H119,$C$121)</f>
        <v xml:space="preserve">266 946 1626 2306 2986 3666 4346 5026 5706 6386 7066 7746 </v>
      </c>
      <c r="T112" s="69"/>
      <c r="U112" s="69"/>
      <c r="V112" s="69"/>
      <c r="W112" s="69"/>
      <c r="X112" s="69"/>
      <c r="Y112" s="69"/>
      <c r="Z112" s="6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6"/>
      <c r="B113" s="8" t="s">
        <v>17</v>
      </c>
      <c r="C113" s="10">
        <f>3401+C96</f>
        <v>3481</v>
      </c>
      <c r="D113" s="10">
        <f>IF(D96,3657,3658)</f>
        <v>3658</v>
      </c>
      <c r="E113" s="10">
        <f>IF(E96,3659,3660)</f>
        <v>3659</v>
      </c>
      <c r="F113" s="10">
        <f>IF(F96,3661,3662)</f>
        <v>3661</v>
      </c>
      <c r="G113" s="10">
        <f>IF(G96,3663,3664)</f>
        <v>3664</v>
      </c>
      <c r="H113" s="10">
        <f>IF(H96,3665,3666)</f>
        <v>3666</v>
      </c>
      <c r="I113" s="10">
        <f>IF(I96,3667,3668)</f>
        <v>3668</v>
      </c>
      <c r="J113" s="10">
        <f>3669+J96</f>
        <v>3669</v>
      </c>
      <c r="K113" s="10">
        <f>IF(K96,3770,3771)</f>
        <v>3771</v>
      </c>
      <c r="L113" s="10">
        <f>3772+L96</f>
        <v>3772</v>
      </c>
      <c r="M113" s="10">
        <f>IF(M96,3873,3874)</f>
        <v>3874</v>
      </c>
      <c r="N113" s="10">
        <f>3875+N96</f>
        <v>3875</v>
      </c>
      <c r="O113" s="10">
        <f>IF(O96,3976,3977)</f>
        <v>3977</v>
      </c>
      <c r="P113" s="10">
        <f>3978+P96</f>
        <v>3978</v>
      </c>
      <c r="Q113" s="10">
        <f>IF(Q96,4079,4080)</f>
        <v>4080</v>
      </c>
      <c r="R113" s="6">
        <v>7</v>
      </c>
      <c r="S113" s="69" t="str">
        <f>_xlfn.CONCAT(I108,$C$121,I109,$C$121,I110,$C$121,I111,$C$121,I112,$C$121,I113,$C$121,I114,$C$121,I115,$C$121,I116,$C$121,I117,$C$121,I118,$C$121,I119,$C$121)</f>
        <v xml:space="preserve">268 948 1628 2308 2988 3668 4348 5028 5708 6388 7068 7748 </v>
      </c>
      <c r="T113" s="69"/>
      <c r="U113" s="69"/>
      <c r="V113" s="69"/>
      <c r="W113" s="69"/>
      <c r="X113" s="69"/>
      <c r="Y113" s="69"/>
      <c r="Z113" s="6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6"/>
      <c r="B114" s="8" t="s">
        <v>18</v>
      </c>
      <c r="C114" s="10">
        <f>4081+C97</f>
        <v>4091</v>
      </c>
      <c r="D114" s="10">
        <f>IF(D97,4337,4338)</f>
        <v>4338</v>
      </c>
      <c r="E114" s="10">
        <f>IF(E97,4339,4340)</f>
        <v>4339</v>
      </c>
      <c r="F114" s="10">
        <f>IF(F97,4341,4342)</f>
        <v>4341</v>
      </c>
      <c r="G114" s="10">
        <f>IF(G97,4343,4344)</f>
        <v>4344</v>
      </c>
      <c r="H114" s="10">
        <f>IF(H97,4345,4346)</f>
        <v>4346</v>
      </c>
      <c r="I114" s="10">
        <f>IF(I97,4347,4348)</f>
        <v>4348</v>
      </c>
      <c r="J114" s="10">
        <f>4349+J97</f>
        <v>4349</v>
      </c>
      <c r="K114" s="10">
        <f>IF(K97,4450,4451)</f>
        <v>4451</v>
      </c>
      <c r="L114" s="10">
        <f>4452+L97</f>
        <v>4452</v>
      </c>
      <c r="M114" s="10">
        <f>IF(M97,4553,4554)</f>
        <v>4554</v>
      </c>
      <c r="N114" s="10">
        <f>4555+N97</f>
        <v>4555</v>
      </c>
      <c r="O114" s="10">
        <f>IF(O97,4656,4657)</f>
        <v>4657</v>
      </c>
      <c r="P114" s="10">
        <f>4658+P97</f>
        <v>4658</v>
      </c>
      <c r="Q114" s="10">
        <f>IF(Q97,4759,4760)</f>
        <v>4760</v>
      </c>
      <c r="R114" s="6">
        <v>8</v>
      </c>
      <c r="S114" s="69" t="str">
        <f>_xlfn.CONCAT(J108,$C$121,J109,$C$121,J110,$C$121,J111,$C$121,J112,$C$121,J113,$C$121,J114,$C$121,J115,$C$121,J116,$C$121,J117,$C$121,J118,$C$121,J119,$C$121)</f>
        <v xml:space="preserve">269 989 1629 2309 2989 3669 4349 5029 5709 6389 7069 7749 </v>
      </c>
      <c r="T114" s="69"/>
      <c r="U114" s="69"/>
      <c r="V114" s="69"/>
      <c r="W114" s="69"/>
      <c r="X114" s="69"/>
      <c r="Y114" s="69"/>
      <c r="Z114" s="6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6"/>
      <c r="B115" s="8" t="s">
        <v>19</v>
      </c>
      <c r="C115" s="10">
        <f>4761+C98</f>
        <v>4806</v>
      </c>
      <c r="D115" s="10">
        <f>IF(D98,5017,5018)</f>
        <v>5018</v>
      </c>
      <c r="E115" s="10">
        <f>IF(E98,5019,5020)</f>
        <v>5019</v>
      </c>
      <c r="F115" s="10">
        <f>IF(F98,5021,5022)</f>
        <v>5021</v>
      </c>
      <c r="G115" s="10">
        <f>IF(G98,5023,5024)</f>
        <v>5024</v>
      </c>
      <c r="H115" s="10">
        <f>IF(H98,5025,5026)</f>
        <v>5026</v>
      </c>
      <c r="I115" s="10">
        <f>IF(I98,5027,5028)</f>
        <v>5028</v>
      </c>
      <c r="J115" s="10">
        <f>5029+J98</f>
        <v>5029</v>
      </c>
      <c r="K115" s="10">
        <f>IF(K98,5130,5131)</f>
        <v>5131</v>
      </c>
      <c r="L115" s="10">
        <f>5132+L98</f>
        <v>5132</v>
      </c>
      <c r="M115" s="10">
        <f>IF(M98,5233,5234)</f>
        <v>5234</v>
      </c>
      <c r="N115" s="10">
        <f>5235+N98</f>
        <v>5235</v>
      </c>
      <c r="O115" s="10">
        <f>IF(O98,5336,5337)</f>
        <v>5337</v>
      </c>
      <c r="P115" s="10">
        <f>5338+P98</f>
        <v>5418</v>
      </c>
      <c r="Q115" s="10">
        <f>IF(Q98,5439,5440)</f>
        <v>5439</v>
      </c>
      <c r="R115" s="6">
        <v>9</v>
      </c>
      <c r="S115" s="69" t="str">
        <f>_xlfn.CONCAT(K108,$C$121,K109,$C$121,K110,$C$121,K111,$C$121,K112,$C$121,K113,$C$121,K114,$C$121,K115,$C$121,K116,$C$121,K117,$C$121,K118,$C$121,K119,$C$121)</f>
        <v xml:space="preserve">371 1051 1731 2411 3091 3771 4451 5131 5811 6491 7171 7851 </v>
      </c>
      <c r="T115" s="69"/>
      <c r="U115" s="69"/>
      <c r="V115" s="69"/>
      <c r="W115" s="69"/>
      <c r="X115" s="69"/>
      <c r="Y115" s="69"/>
      <c r="Z115" s="6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6"/>
      <c r="B116" s="8" t="s">
        <v>20</v>
      </c>
      <c r="C116" s="10">
        <f>5441+C99</f>
        <v>5441</v>
      </c>
      <c r="D116" s="10">
        <f>IF(D99,5697,5698)</f>
        <v>5698</v>
      </c>
      <c r="E116" s="10">
        <f>IF(E99,5699,5700)</f>
        <v>5700</v>
      </c>
      <c r="F116" s="10">
        <f>IF(F99,5701,5702)</f>
        <v>5702</v>
      </c>
      <c r="G116" s="10">
        <f>IF(G99,5703,5704)</f>
        <v>5704</v>
      </c>
      <c r="H116" s="10">
        <f>IF(H99,5705,5706)</f>
        <v>5706</v>
      </c>
      <c r="I116" s="10">
        <f>IF(I99,5707,5708)</f>
        <v>5708</v>
      </c>
      <c r="J116" s="10">
        <f>5709+J99</f>
        <v>5709</v>
      </c>
      <c r="K116" s="10">
        <f>IF(K99,5810,5811)</f>
        <v>5811</v>
      </c>
      <c r="L116" s="10">
        <f>5812+L99</f>
        <v>5812</v>
      </c>
      <c r="M116" s="10">
        <f>IF(M99,5913,5914)</f>
        <v>5914</v>
      </c>
      <c r="N116" s="10">
        <f>5915+N99</f>
        <v>5915</v>
      </c>
      <c r="O116" s="10">
        <f>IF(O99,6016,6017)</f>
        <v>6017</v>
      </c>
      <c r="P116" s="10">
        <f>6018+P99</f>
        <v>6018</v>
      </c>
      <c r="Q116" s="10">
        <f>IF(Q99,6119,6120)</f>
        <v>6120</v>
      </c>
      <c r="R116" s="6">
        <v>10</v>
      </c>
      <c r="S116" s="69" t="str">
        <f>_xlfn.CONCAT(L108,$C$121,L109,$C$121,L110,$C$121,L111,$C$121,L112,$C$121,L113,$C$121,L114,$C$121,L115,$C$121,L116,$C$121,L117,$C$121,L118,$C$121,L119,$C$121)</f>
        <v xml:space="preserve">372 1092 1732 2412 3092 3772 4452 5132 5812 6492 7172 7852 </v>
      </c>
      <c r="T116" s="69"/>
      <c r="U116" s="69"/>
      <c r="V116" s="69"/>
      <c r="W116" s="69"/>
      <c r="X116" s="69"/>
      <c r="Y116" s="69"/>
      <c r="Z116" s="6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6"/>
      <c r="B117" s="8" t="s">
        <v>21</v>
      </c>
      <c r="C117" s="10">
        <f>6121+C100</f>
        <v>6121</v>
      </c>
      <c r="D117" s="10">
        <f>IF(D100,6377,6378)</f>
        <v>6378</v>
      </c>
      <c r="E117" s="10">
        <f>IF(E100,6379,6380)</f>
        <v>6380</v>
      </c>
      <c r="F117" s="10">
        <f>IF(F100,6381,6382)</f>
        <v>6382</v>
      </c>
      <c r="G117" s="10">
        <f>IF(G100,6383,6384)</f>
        <v>6384</v>
      </c>
      <c r="H117" s="10">
        <f>IF(H100,6385,6386)</f>
        <v>6386</v>
      </c>
      <c r="I117" s="10">
        <f>IF(I100,6387,6388)</f>
        <v>6388</v>
      </c>
      <c r="J117" s="10">
        <f>6389+J100</f>
        <v>6389</v>
      </c>
      <c r="K117" s="10">
        <f>IF(K100,6490,6491)</f>
        <v>6491</v>
      </c>
      <c r="L117" s="10">
        <f>6492+L100</f>
        <v>6492</v>
      </c>
      <c r="M117" s="10">
        <f>IF(M100,6593,6594)</f>
        <v>6594</v>
      </c>
      <c r="N117" s="10">
        <f>6595+N100</f>
        <v>6595</v>
      </c>
      <c r="O117" s="10">
        <f>IF(O100,6696,6697)</f>
        <v>6697</v>
      </c>
      <c r="P117" s="10">
        <f>6698+P100</f>
        <v>6698</v>
      </c>
      <c r="Q117" s="10">
        <f>IF(Q100,6799,6800)</f>
        <v>6800</v>
      </c>
      <c r="R117" s="6">
        <v>11</v>
      </c>
      <c r="S117" s="69" t="str">
        <f>_xlfn.CONCAT(M108,$C$121,M109,$C$121,M110,$C$121,M111,$C$121,M112,$C$121,M113,$C$121,M114,$C$121,M115,$C$121,M116,$C$121,M117,$C$121,M118,$C$121,M119,$C$121)</f>
        <v xml:space="preserve">474 1154 1834 2514 3194 3874 4554 5234 5914 6594 7274 7954 </v>
      </c>
      <c r="T117" s="69"/>
      <c r="U117" s="69"/>
      <c r="V117" s="69"/>
      <c r="W117" s="69"/>
      <c r="X117" s="69"/>
      <c r="Y117" s="69"/>
      <c r="Z117" s="6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6"/>
      <c r="B118" s="8" t="s">
        <v>22</v>
      </c>
      <c r="C118" s="10">
        <f>6801+C101</f>
        <v>6801</v>
      </c>
      <c r="D118" s="10">
        <f>IF(D101,7057,7058)</f>
        <v>7058</v>
      </c>
      <c r="E118" s="10">
        <f>IF(E101,7059,7060)</f>
        <v>7060</v>
      </c>
      <c r="F118" s="10">
        <f>IF(F101,7061,7062)</f>
        <v>7062</v>
      </c>
      <c r="G118" s="10">
        <f>IF(G101,7063,7064)</f>
        <v>7064</v>
      </c>
      <c r="H118" s="10">
        <f>IF(H101,7065,7066)</f>
        <v>7066</v>
      </c>
      <c r="I118" s="10">
        <f>IF(I101,7067,7068)</f>
        <v>7068</v>
      </c>
      <c r="J118" s="10">
        <f>7069+J101</f>
        <v>7069</v>
      </c>
      <c r="K118" s="10">
        <f>IF(K101,7170,7171)</f>
        <v>7171</v>
      </c>
      <c r="L118" s="10">
        <f>7172+L101</f>
        <v>7172</v>
      </c>
      <c r="M118" s="10">
        <f>IF(M101,7273,7274)</f>
        <v>7274</v>
      </c>
      <c r="N118" s="10">
        <f>7275+N101</f>
        <v>7275</v>
      </c>
      <c r="O118" s="10">
        <f>IF(O101,7376,7377)</f>
        <v>7377</v>
      </c>
      <c r="P118" s="10">
        <f>7378+P101</f>
        <v>7378</v>
      </c>
      <c r="Q118" s="10">
        <f>IF(Q101,7479,7480)</f>
        <v>7480</v>
      </c>
      <c r="R118" s="6">
        <v>12</v>
      </c>
      <c r="S118" s="69" t="str">
        <f>_xlfn.CONCAT(N108,$C$121,N109,$C$121,N110,$C$121,N111,$C$121,N112,$C$121,N113,$C$121,N114,$C$121,N115,$C$121,N116,$C$121,N117,$C$121,N118,$C$121,N119,$C$121)</f>
        <v xml:space="preserve">475 1195 1835 2515 3195 3875 4555 5235 5915 6595 7275 7955 </v>
      </c>
      <c r="T118" s="69"/>
      <c r="U118" s="69"/>
      <c r="V118" s="69"/>
      <c r="W118" s="69"/>
      <c r="X118" s="69"/>
      <c r="Y118" s="69"/>
      <c r="Z118" s="6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6"/>
      <c r="B119" s="8" t="s">
        <v>23</v>
      </c>
      <c r="C119" s="10">
        <f>7481+C102</f>
        <v>7481</v>
      </c>
      <c r="D119" s="10">
        <f>IF(D102,7737,7738)</f>
        <v>7738</v>
      </c>
      <c r="E119" s="10">
        <f>IF(E102,7739,7740)</f>
        <v>7740</v>
      </c>
      <c r="F119" s="10">
        <f>IF(F102,7741,7742)</f>
        <v>7742</v>
      </c>
      <c r="G119" s="10">
        <f>IF(G102,7743,7744)</f>
        <v>7744</v>
      </c>
      <c r="H119" s="10">
        <f>IF(H102,7745,7746)</f>
        <v>7746</v>
      </c>
      <c r="I119" s="10">
        <f>IF(I102,7747,7748)</f>
        <v>7748</v>
      </c>
      <c r="J119" s="10">
        <f>7749+J102</f>
        <v>7749</v>
      </c>
      <c r="K119" s="10">
        <f>IF(K102,7850,7851)</f>
        <v>7851</v>
      </c>
      <c r="L119" s="10">
        <f>7852+L102</f>
        <v>7852</v>
      </c>
      <c r="M119" s="10">
        <f>IF(M102,7953,7954)</f>
        <v>7954</v>
      </c>
      <c r="N119" s="10">
        <f>7955+N102</f>
        <v>7955</v>
      </c>
      <c r="O119" s="10">
        <f>IF(O102,8056,8057)</f>
        <v>8057</v>
      </c>
      <c r="P119" s="10">
        <f>8058+P102</f>
        <v>8058</v>
      </c>
      <c r="Q119" s="10">
        <f>IF(Q102,8159,8160)</f>
        <v>8160</v>
      </c>
      <c r="R119" s="6">
        <v>13</v>
      </c>
      <c r="S119" s="69" t="str">
        <f>_xlfn.CONCAT(O108,$C$121,O109,$C$121,O110,$C$121,O111,$C$121,O112,$C$121,O113,$C$121,O114,$C$121,O115,$C$121,O116,$C$121,O117,$C$121,O118,$C$121,O119,$C$121)</f>
        <v xml:space="preserve">577 1257 1937 2617 3297 3977 4657 5337 6017 6697 7377 8057 </v>
      </c>
      <c r="T119" s="69"/>
      <c r="U119" s="69"/>
      <c r="V119" s="69"/>
      <c r="W119" s="69"/>
      <c r="X119" s="69"/>
      <c r="Y119" s="69"/>
      <c r="Z119" s="6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>
        <v>14</v>
      </c>
      <c r="S120" s="69" t="str">
        <f>_xlfn.CONCAT(P108,$C$121,P109,$C$121,P110,$C$121,P111,$C$121,P112,$C$121,P113,$C$121,P114,$C$121,P115,$C$121,P116,$C$121,P117,$C$121,P118,$C$121,P119,$C$121)</f>
        <v xml:space="preserve">638 1258 1938 2618 3298 3978 4658 5418 6018 6698 7378 8058 </v>
      </c>
      <c r="T120" s="69"/>
      <c r="U120" s="69"/>
      <c r="V120" s="69"/>
      <c r="W120" s="69"/>
      <c r="X120" s="69"/>
      <c r="Y120" s="69"/>
      <c r="Z120" s="6"/>
      <c r="AA120" s="2"/>
      <c r="AB120" s="4"/>
      <c r="AC120" s="4"/>
      <c r="AD120" s="4"/>
      <c r="AE120" s="4"/>
      <c r="AF120" s="4"/>
      <c r="AG120" s="4"/>
      <c r="AH120" s="5"/>
      <c r="AI120" s="5"/>
      <c r="AJ120" s="5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6"/>
      <c r="B121" s="11" t="s">
        <v>28</v>
      </c>
      <c r="C121" s="11" t="s">
        <v>67</v>
      </c>
      <c r="D121" s="6"/>
      <c r="E121" s="11" t="s">
        <v>29</v>
      </c>
      <c r="F121" s="11"/>
      <c r="G121" s="6" t="s">
        <v>27</v>
      </c>
      <c r="H121" s="11" t="s">
        <v>30</v>
      </c>
      <c r="I121" s="11">
        <v>9999</v>
      </c>
      <c r="J121" s="6"/>
      <c r="K121" s="6"/>
      <c r="L121" s="6"/>
      <c r="M121" s="6"/>
      <c r="N121" s="6"/>
      <c r="O121" s="6"/>
      <c r="P121" s="6"/>
      <c r="Q121" s="6"/>
      <c r="R121" s="6">
        <v>15</v>
      </c>
      <c r="S121" s="69" t="str">
        <f>_xlfn.CONCAT(Q108,$C$121,Q109,$C$121,Q110,$C$121,Q111,$C$121,Q112,$C$121,Q113,$C$121,Q114,$C$121,Q115,$C$121,Q116,$C$121,Q117,$C$121,Q118,$C$121,Q119,$C$121,I121)</f>
        <v>679 1360 2040 2720 3400 4080 4760 5439 6120 6800 7480 8160 9999</v>
      </c>
      <c r="T121" s="69"/>
      <c r="U121" s="69"/>
      <c r="V121" s="69"/>
      <c r="W121" s="69"/>
      <c r="X121" s="69"/>
      <c r="Y121" s="69"/>
      <c r="Z121" s="6"/>
      <c r="AA121" s="2"/>
      <c r="AB121" s="4"/>
      <c r="AC121" s="4"/>
      <c r="AD121" s="4"/>
      <c r="AE121" s="4"/>
      <c r="AF121" s="4"/>
      <c r="AG121" s="4"/>
      <c r="AH121" s="5"/>
      <c r="AI121" s="5"/>
      <c r="AJ121" s="5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6"/>
      <c r="B122" s="13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2"/>
      <c r="AB122" s="4"/>
      <c r="AC122" s="4"/>
      <c r="AD122" s="4"/>
      <c r="AE122" s="4"/>
      <c r="AF122" s="4"/>
      <c r="AG122" s="4"/>
      <c r="AH122" s="5"/>
      <c r="AI122" s="5"/>
      <c r="AJ122" s="5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4"/>
      <c r="AC123" s="4"/>
      <c r="AD123" s="4"/>
      <c r="AE123" s="4"/>
      <c r="AF123" s="4"/>
      <c r="AG123" s="4"/>
      <c r="AH123" s="5"/>
      <c r="AI123" s="5"/>
      <c r="AJ123" s="5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4"/>
      <c r="AC124" s="4"/>
      <c r="AD124" s="4"/>
      <c r="AE124" s="4"/>
      <c r="AF124" s="4"/>
      <c r="AG124" s="4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</sheetData>
  <sheetProtection algorithmName="SHA-512" hashValue="kMIz2lzBHqRc9KYJQl90on3bEZW858vluHf3KFuksgb5zm+/vyBzQ5jRpRs6lEjoTSV9AGAos/dCXkKwmjJ5YA==" saltValue="24OUKGRdV6CPiTXReJ7KNA==" spinCount="100000" sheet="1" objects="1" scenarios="1" selectLockedCells="1"/>
  <protectedRanges>
    <protectedRange sqref="C9:Q20" name="Intervalo1"/>
  </protectedRanges>
  <mergeCells count="30">
    <mergeCell ref="B2:H4"/>
    <mergeCell ref="S107:Y107"/>
    <mergeCell ref="S120:Y120"/>
    <mergeCell ref="S119:Y119"/>
    <mergeCell ref="S118:Y118"/>
    <mergeCell ref="S112:Y112"/>
    <mergeCell ref="S108:Y108"/>
    <mergeCell ref="S117:Y117"/>
    <mergeCell ref="S116:Y116"/>
    <mergeCell ref="S115:Y115"/>
    <mergeCell ref="S114:Y114"/>
    <mergeCell ref="S113:Y113"/>
    <mergeCell ref="S111:Y111"/>
    <mergeCell ref="S110:Y110"/>
    <mergeCell ref="S109:Y109"/>
    <mergeCell ref="B22:Q22"/>
    <mergeCell ref="S121:Y121"/>
    <mergeCell ref="J89:K89"/>
    <mergeCell ref="L89:M89"/>
    <mergeCell ref="N89:O89"/>
    <mergeCell ref="P89:Q89"/>
    <mergeCell ref="J106:K106"/>
    <mergeCell ref="L106:M106"/>
    <mergeCell ref="N106:O106"/>
    <mergeCell ref="P106:Q106"/>
    <mergeCell ref="P7:Q7"/>
    <mergeCell ref="N7:O7"/>
    <mergeCell ref="L7:M7"/>
    <mergeCell ref="J7:K7"/>
    <mergeCell ref="J6:Q6"/>
  </mergeCells>
  <phoneticPr fontId="1" type="noConversion"/>
  <conditionalFormatting sqref="C9:C20">
    <cfRule type="cellIs" dxfId="32" priority="9" operator="greaterThan">
      <formula>255</formula>
    </cfRule>
  </conditionalFormatting>
  <conditionalFormatting sqref="J9:J20 L9:L20 N9:N20 P9:P20">
    <cfRule type="cellIs" dxfId="31" priority="8" operator="greaterThan">
      <formula>100</formula>
    </cfRule>
  </conditionalFormatting>
  <conditionalFormatting sqref="L9:L20 N9:N20 P9:P20 C9:C20 J9:J20">
    <cfRule type="cellIs" dxfId="30" priority="7" operator="lessThan">
      <formula>0</formula>
    </cfRule>
  </conditionalFormatting>
  <conditionalFormatting sqref="J9:J20">
    <cfRule type="cellIs" dxfId="29" priority="4" operator="greaterThan">
      <formula>255</formula>
    </cfRule>
  </conditionalFormatting>
  <conditionalFormatting sqref="J10">
    <cfRule type="cellIs" dxfId="28" priority="3" operator="greaterThan">
      <formula>100</formula>
    </cfRule>
  </conditionalFormatting>
  <conditionalFormatting sqref="J11">
    <cfRule type="cellIs" dxfId="27" priority="2" operator="greaterThan">
      <formula>100</formula>
    </cfRule>
  </conditionalFormatting>
  <conditionalFormatting sqref="F9:G20">
    <cfRule type="cellIs" dxfId="26" priority="1" operator="equal"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200025</xdr:colOff>
                    <xdr:row>7</xdr:row>
                    <xdr:rowOff>161925</xdr:rowOff>
                  </from>
                  <to>
                    <xdr:col>3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4</xdr:col>
                    <xdr:colOff>200025</xdr:colOff>
                    <xdr:row>7</xdr:row>
                    <xdr:rowOff>161925</xdr:rowOff>
                  </from>
                  <to>
                    <xdr:col>4</xdr:col>
                    <xdr:colOff>466725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5</xdr:col>
                    <xdr:colOff>200025</xdr:colOff>
                    <xdr:row>7</xdr:row>
                    <xdr:rowOff>161925</xdr:rowOff>
                  </from>
                  <to>
                    <xdr:col>5</xdr:col>
                    <xdr:colOff>466725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6</xdr:col>
                    <xdr:colOff>200025</xdr:colOff>
                    <xdr:row>7</xdr:row>
                    <xdr:rowOff>161925</xdr:rowOff>
                  </from>
                  <to>
                    <xdr:col>6</xdr:col>
                    <xdr:colOff>466725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200025</xdr:colOff>
                    <xdr:row>7</xdr:row>
                    <xdr:rowOff>161925</xdr:rowOff>
                  </from>
                  <to>
                    <xdr:col>7</xdr:col>
                    <xdr:colOff>466725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print="0" autoFill="0" autoLine="0" autoPict="0">
                <anchor moveWithCells="1">
                  <from>
                    <xdr:col>8</xdr:col>
                    <xdr:colOff>200025</xdr:colOff>
                    <xdr:row>7</xdr:row>
                    <xdr:rowOff>161925</xdr:rowOff>
                  </from>
                  <to>
                    <xdr:col>8</xdr:col>
                    <xdr:colOff>466725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Check Box 20">
              <controlPr defaultSize="0" autoFill="0" autoLine="0" autoPict="0">
                <anchor moveWithCells="1">
                  <from>
                    <xdr:col>3</xdr:col>
                    <xdr:colOff>200025</xdr:colOff>
                    <xdr:row>8</xdr:row>
                    <xdr:rowOff>171450</xdr:rowOff>
                  </from>
                  <to>
                    <xdr:col>3</xdr:col>
                    <xdr:colOff>476250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Check Box 21">
              <controlPr defaultSize="0" autoFill="0" autoLine="0" autoPict="0">
                <anchor moveWithCells="1">
                  <from>
                    <xdr:col>4</xdr:col>
                    <xdr:colOff>200025</xdr:colOff>
                    <xdr:row>8</xdr:row>
                    <xdr:rowOff>171450</xdr:rowOff>
                  </from>
                  <to>
                    <xdr:col>4</xdr:col>
                    <xdr:colOff>466725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Check Box 22">
              <controlPr defaultSize="0" autoFill="0" autoLine="0" autoPict="0">
                <anchor moveWithCells="1">
                  <from>
                    <xdr:col>5</xdr:col>
                    <xdr:colOff>200025</xdr:colOff>
                    <xdr:row>8</xdr:row>
                    <xdr:rowOff>171450</xdr:rowOff>
                  </from>
                  <to>
                    <xdr:col>5</xdr:col>
                    <xdr:colOff>466725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Check Box 23">
              <controlPr defaultSize="0" autoFill="0" autoLine="0" autoPict="0">
                <anchor moveWithCells="1">
                  <from>
                    <xdr:col>6</xdr:col>
                    <xdr:colOff>200025</xdr:colOff>
                    <xdr:row>8</xdr:row>
                    <xdr:rowOff>171450</xdr:rowOff>
                  </from>
                  <to>
                    <xdr:col>6</xdr:col>
                    <xdr:colOff>466725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Check Box 24">
              <controlPr defaultSize="0" autoFill="0" autoLine="0" autoPict="0">
                <anchor moveWithCells="1">
                  <from>
                    <xdr:col>7</xdr:col>
                    <xdr:colOff>200025</xdr:colOff>
                    <xdr:row>8</xdr:row>
                    <xdr:rowOff>171450</xdr:rowOff>
                  </from>
                  <to>
                    <xdr:col>7</xdr:col>
                    <xdr:colOff>466725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Check Box 25">
              <controlPr defaultSize="0" autoFill="0" autoLine="0" autoPict="0">
                <anchor moveWithCells="1">
                  <from>
                    <xdr:col>8</xdr:col>
                    <xdr:colOff>200025</xdr:colOff>
                    <xdr:row>8</xdr:row>
                    <xdr:rowOff>171450</xdr:rowOff>
                  </from>
                  <to>
                    <xdr:col>8</xdr:col>
                    <xdr:colOff>466725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Check Box 26">
              <controlPr defaultSize="0" autoFill="0" autoLine="0" autoPict="0">
                <anchor moveWithCells="1">
                  <from>
                    <xdr:col>3</xdr:col>
                    <xdr:colOff>200025</xdr:colOff>
                    <xdr:row>9</xdr:row>
                    <xdr:rowOff>171450</xdr:rowOff>
                  </from>
                  <to>
                    <xdr:col>3</xdr:col>
                    <xdr:colOff>476250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Check Box 27">
              <controlPr defaultSize="0" autoFill="0" autoLine="0" autoPict="0">
                <anchor moveWithCells="1">
                  <from>
                    <xdr:col>4</xdr:col>
                    <xdr:colOff>200025</xdr:colOff>
                    <xdr:row>9</xdr:row>
                    <xdr:rowOff>171450</xdr:rowOff>
                  </from>
                  <to>
                    <xdr:col>4</xdr:col>
                    <xdr:colOff>466725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Check Box 28">
              <controlPr defaultSize="0" autoFill="0" autoLine="0" autoPict="0">
                <anchor moveWithCells="1">
                  <from>
                    <xdr:col>5</xdr:col>
                    <xdr:colOff>200025</xdr:colOff>
                    <xdr:row>9</xdr:row>
                    <xdr:rowOff>171450</xdr:rowOff>
                  </from>
                  <to>
                    <xdr:col>5</xdr:col>
                    <xdr:colOff>466725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Check Box 29">
              <controlPr defaultSize="0" autoFill="0" autoLine="0" autoPict="0">
                <anchor moveWithCells="1">
                  <from>
                    <xdr:col>6</xdr:col>
                    <xdr:colOff>200025</xdr:colOff>
                    <xdr:row>9</xdr:row>
                    <xdr:rowOff>171450</xdr:rowOff>
                  </from>
                  <to>
                    <xdr:col>6</xdr:col>
                    <xdr:colOff>466725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Check Box 30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171450</xdr:rowOff>
                  </from>
                  <to>
                    <xdr:col>7</xdr:col>
                    <xdr:colOff>466725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1" name="Check Box 31">
              <controlPr defaultSize="0" autoFill="0" autoLine="0" autoPict="0">
                <anchor moveWithCells="1">
                  <from>
                    <xdr:col>8</xdr:col>
                    <xdr:colOff>200025</xdr:colOff>
                    <xdr:row>9</xdr:row>
                    <xdr:rowOff>171450</xdr:rowOff>
                  </from>
                  <to>
                    <xdr:col>8</xdr:col>
                    <xdr:colOff>466725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Check Box 32">
              <controlPr defaultSize="0" autoFill="0" autoLine="0" autoPict="0">
                <anchor moveWithCells="1">
                  <from>
                    <xdr:col>3</xdr:col>
                    <xdr:colOff>200025</xdr:colOff>
                    <xdr:row>10</xdr:row>
                    <xdr:rowOff>171450</xdr:rowOff>
                  </from>
                  <to>
                    <xdr:col>3</xdr:col>
                    <xdr:colOff>476250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Check Box 33">
              <controlPr defaultSize="0" autoFill="0" autoLine="0" autoPict="0">
                <anchor moveWithCells="1">
                  <from>
                    <xdr:col>4</xdr:col>
                    <xdr:colOff>200025</xdr:colOff>
                    <xdr:row>10</xdr:row>
                    <xdr:rowOff>171450</xdr:rowOff>
                  </from>
                  <to>
                    <xdr:col>4</xdr:col>
                    <xdr:colOff>466725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Check Box 34">
              <controlPr defaultSize="0" autoFill="0" autoLine="0" autoPict="0">
                <anchor moveWithCells="1">
                  <from>
                    <xdr:col>5</xdr:col>
                    <xdr:colOff>200025</xdr:colOff>
                    <xdr:row>10</xdr:row>
                    <xdr:rowOff>171450</xdr:rowOff>
                  </from>
                  <to>
                    <xdr:col>5</xdr:col>
                    <xdr:colOff>466725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Check Box 35">
              <controlPr defaultSize="0" autoFill="0" autoLine="0" autoPict="0">
                <anchor moveWithCells="1">
                  <from>
                    <xdr:col>6</xdr:col>
                    <xdr:colOff>200025</xdr:colOff>
                    <xdr:row>10</xdr:row>
                    <xdr:rowOff>171450</xdr:rowOff>
                  </from>
                  <to>
                    <xdr:col>6</xdr:col>
                    <xdr:colOff>466725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Check Box 36">
              <controlPr defaultSize="0" autoFill="0" autoLine="0" autoPict="0">
                <anchor moveWithCells="1">
                  <from>
                    <xdr:col>7</xdr:col>
                    <xdr:colOff>200025</xdr:colOff>
                    <xdr:row>10</xdr:row>
                    <xdr:rowOff>171450</xdr:rowOff>
                  </from>
                  <to>
                    <xdr:col>7</xdr:col>
                    <xdr:colOff>466725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Check Box 37">
              <controlPr defaultSize="0" autoFill="0" autoLine="0" autoPict="0">
                <anchor moveWithCells="1">
                  <from>
                    <xdr:col>8</xdr:col>
                    <xdr:colOff>200025</xdr:colOff>
                    <xdr:row>10</xdr:row>
                    <xdr:rowOff>171450</xdr:rowOff>
                  </from>
                  <to>
                    <xdr:col>8</xdr:col>
                    <xdr:colOff>466725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Check Box 38">
              <controlPr defaultSize="0" autoFill="0" autoLine="0" autoPict="0">
                <anchor moveWithCells="1">
                  <from>
                    <xdr:col>3</xdr:col>
                    <xdr:colOff>200025</xdr:colOff>
                    <xdr:row>11</xdr:row>
                    <xdr:rowOff>171450</xdr:rowOff>
                  </from>
                  <to>
                    <xdr:col>3</xdr:col>
                    <xdr:colOff>476250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Check Box 39">
              <controlPr defaultSize="0" autoFill="0" autoLine="0" autoPict="0">
                <anchor moveWithCells="1">
                  <from>
                    <xdr:col>4</xdr:col>
                    <xdr:colOff>200025</xdr:colOff>
                    <xdr:row>11</xdr:row>
                    <xdr:rowOff>171450</xdr:rowOff>
                  </from>
                  <to>
                    <xdr:col>4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Check Box 40">
              <controlPr defaultSize="0" autoFill="0" autoLine="0" autoPict="0">
                <anchor moveWithCells="1">
                  <from>
                    <xdr:col>5</xdr:col>
                    <xdr:colOff>200025</xdr:colOff>
                    <xdr:row>11</xdr:row>
                    <xdr:rowOff>171450</xdr:rowOff>
                  </from>
                  <to>
                    <xdr:col>5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Check Box 41">
              <controlPr defaultSize="0" autoFill="0" autoLine="0" autoPict="0">
                <anchor moveWithCells="1">
                  <from>
                    <xdr:col>6</xdr:col>
                    <xdr:colOff>200025</xdr:colOff>
                    <xdr:row>11</xdr:row>
                    <xdr:rowOff>171450</xdr:rowOff>
                  </from>
                  <to>
                    <xdr:col>6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Check Box 42">
              <controlPr defaultSize="0" autoFill="0" autoLine="0" autoPict="0">
                <anchor moveWithCells="1">
                  <from>
                    <xdr:col>7</xdr:col>
                    <xdr:colOff>200025</xdr:colOff>
                    <xdr:row>11</xdr:row>
                    <xdr:rowOff>171450</xdr:rowOff>
                  </from>
                  <to>
                    <xdr:col>7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Check Box 43">
              <controlPr defaultSize="0" autoFill="0" autoLine="0" autoPict="0">
                <anchor moveWithCells="1">
                  <from>
                    <xdr:col>8</xdr:col>
                    <xdr:colOff>200025</xdr:colOff>
                    <xdr:row>11</xdr:row>
                    <xdr:rowOff>171450</xdr:rowOff>
                  </from>
                  <to>
                    <xdr:col>8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Check Box 44">
              <controlPr defaultSize="0" autoFill="0" autoLine="0" autoPict="0">
                <anchor moveWithCells="1">
                  <from>
                    <xdr:col>3</xdr:col>
                    <xdr:colOff>200025</xdr:colOff>
                    <xdr:row>12</xdr:row>
                    <xdr:rowOff>171450</xdr:rowOff>
                  </from>
                  <to>
                    <xdr:col>3</xdr:col>
                    <xdr:colOff>476250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Check Box 45">
              <controlPr defaultSize="0" autoFill="0" autoLine="0" autoPict="0">
                <anchor moveWithCells="1">
                  <from>
                    <xdr:col>4</xdr:col>
                    <xdr:colOff>200025</xdr:colOff>
                    <xdr:row>12</xdr:row>
                    <xdr:rowOff>171450</xdr:rowOff>
                  </from>
                  <to>
                    <xdr:col>4</xdr:col>
                    <xdr:colOff>466725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Check Box 46">
              <controlPr defaultSize="0" autoFill="0" autoLine="0" autoPict="0">
                <anchor moveWithCells="1">
                  <from>
                    <xdr:col>5</xdr:col>
                    <xdr:colOff>200025</xdr:colOff>
                    <xdr:row>12</xdr:row>
                    <xdr:rowOff>171450</xdr:rowOff>
                  </from>
                  <to>
                    <xdr:col>5</xdr:col>
                    <xdr:colOff>466725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Check Box 47">
              <controlPr defaultSize="0" autoFill="0" autoLine="0" autoPict="0">
                <anchor moveWithCells="1">
                  <from>
                    <xdr:col>6</xdr:col>
                    <xdr:colOff>200025</xdr:colOff>
                    <xdr:row>12</xdr:row>
                    <xdr:rowOff>171450</xdr:rowOff>
                  </from>
                  <to>
                    <xdr:col>6</xdr:col>
                    <xdr:colOff>466725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Check Box 48">
              <controlPr defaultSize="0" autoFill="0" autoLine="0" autoPict="0">
                <anchor moveWithCells="1">
                  <from>
                    <xdr:col>7</xdr:col>
                    <xdr:colOff>200025</xdr:colOff>
                    <xdr:row>12</xdr:row>
                    <xdr:rowOff>171450</xdr:rowOff>
                  </from>
                  <to>
                    <xdr:col>7</xdr:col>
                    <xdr:colOff>466725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Check Box 49">
              <controlPr defaultSize="0" autoFill="0" autoLine="0" autoPict="0">
                <anchor moveWithCells="1">
                  <from>
                    <xdr:col>8</xdr:col>
                    <xdr:colOff>200025</xdr:colOff>
                    <xdr:row>12</xdr:row>
                    <xdr:rowOff>171450</xdr:rowOff>
                  </from>
                  <to>
                    <xdr:col>8</xdr:col>
                    <xdr:colOff>466725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Check Box 50">
              <controlPr defaultSize="0" autoFill="0" autoLine="0" autoPict="0">
                <anchor moveWithCells="1">
                  <from>
                    <xdr:col>3</xdr:col>
                    <xdr:colOff>200025</xdr:colOff>
                    <xdr:row>13</xdr:row>
                    <xdr:rowOff>171450</xdr:rowOff>
                  </from>
                  <to>
                    <xdr:col>3</xdr:col>
                    <xdr:colOff>476250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Check Box 51">
              <controlPr defaultSize="0" autoFill="0" autoLine="0" autoPict="0">
                <anchor moveWithCells="1">
                  <from>
                    <xdr:col>4</xdr:col>
                    <xdr:colOff>200025</xdr:colOff>
                    <xdr:row>13</xdr:row>
                    <xdr:rowOff>171450</xdr:rowOff>
                  </from>
                  <to>
                    <xdr:col>4</xdr:col>
                    <xdr:colOff>466725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Check Box 52">
              <controlPr defaultSize="0" autoFill="0" autoLine="0" autoPict="0">
                <anchor moveWithCells="1">
                  <from>
                    <xdr:col>5</xdr:col>
                    <xdr:colOff>200025</xdr:colOff>
                    <xdr:row>13</xdr:row>
                    <xdr:rowOff>171450</xdr:rowOff>
                  </from>
                  <to>
                    <xdr:col>5</xdr:col>
                    <xdr:colOff>466725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Check Box 53">
              <controlPr defaultSize="0" autoFill="0" autoLine="0" autoPict="0">
                <anchor moveWithCells="1">
                  <from>
                    <xdr:col>6</xdr:col>
                    <xdr:colOff>200025</xdr:colOff>
                    <xdr:row>13</xdr:row>
                    <xdr:rowOff>171450</xdr:rowOff>
                  </from>
                  <to>
                    <xdr:col>6</xdr:col>
                    <xdr:colOff>466725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Check Box 54">
              <controlPr defaultSize="0" autoFill="0" autoLine="0" autoPict="0">
                <anchor moveWithCells="1">
                  <from>
                    <xdr:col>7</xdr:col>
                    <xdr:colOff>200025</xdr:colOff>
                    <xdr:row>13</xdr:row>
                    <xdr:rowOff>171450</xdr:rowOff>
                  </from>
                  <to>
                    <xdr:col>7</xdr:col>
                    <xdr:colOff>466725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5" name="Check Box 55">
              <controlPr defaultSize="0" autoFill="0" autoLine="0" autoPict="0">
                <anchor moveWithCells="1">
                  <from>
                    <xdr:col>8</xdr:col>
                    <xdr:colOff>200025</xdr:colOff>
                    <xdr:row>13</xdr:row>
                    <xdr:rowOff>171450</xdr:rowOff>
                  </from>
                  <to>
                    <xdr:col>8</xdr:col>
                    <xdr:colOff>466725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6" name="Check Box 56">
              <controlPr defaultSize="0" autoFill="0" autoLine="0" autoPict="0">
                <anchor moveWithCells="1">
                  <from>
                    <xdr:col>3</xdr:col>
                    <xdr:colOff>200025</xdr:colOff>
                    <xdr:row>14</xdr:row>
                    <xdr:rowOff>171450</xdr:rowOff>
                  </from>
                  <to>
                    <xdr:col>3</xdr:col>
                    <xdr:colOff>476250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7" name="Check Box 57">
              <controlPr defaultSize="0" autoFill="0" autoLine="0" autoPict="0">
                <anchor moveWithCells="1">
                  <from>
                    <xdr:col>4</xdr:col>
                    <xdr:colOff>200025</xdr:colOff>
                    <xdr:row>14</xdr:row>
                    <xdr:rowOff>171450</xdr:rowOff>
                  </from>
                  <to>
                    <xdr:col>4</xdr:col>
                    <xdr:colOff>466725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8" name="Check Box 58">
              <controlPr defaultSize="0" autoFill="0" autoLine="0" autoPict="0">
                <anchor moveWithCells="1">
                  <from>
                    <xdr:col>5</xdr:col>
                    <xdr:colOff>200025</xdr:colOff>
                    <xdr:row>14</xdr:row>
                    <xdr:rowOff>171450</xdr:rowOff>
                  </from>
                  <to>
                    <xdr:col>5</xdr:col>
                    <xdr:colOff>466725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9" name="Check Box 59">
              <controlPr defaultSize="0" autoFill="0" autoLine="0" autoPict="0">
                <anchor moveWithCells="1">
                  <from>
                    <xdr:col>6</xdr:col>
                    <xdr:colOff>200025</xdr:colOff>
                    <xdr:row>14</xdr:row>
                    <xdr:rowOff>171450</xdr:rowOff>
                  </from>
                  <to>
                    <xdr:col>6</xdr:col>
                    <xdr:colOff>466725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0" name="Check Box 60">
              <controlPr defaultSize="0" autoFill="0" autoLine="0" autoPict="0">
                <anchor moveWithCells="1">
                  <from>
                    <xdr:col>7</xdr:col>
                    <xdr:colOff>200025</xdr:colOff>
                    <xdr:row>14</xdr:row>
                    <xdr:rowOff>171450</xdr:rowOff>
                  </from>
                  <to>
                    <xdr:col>7</xdr:col>
                    <xdr:colOff>466725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1" name="Check Box 61">
              <controlPr defaultSize="0" autoFill="0" autoLine="0" autoPict="0">
                <anchor moveWithCells="1">
                  <from>
                    <xdr:col>8</xdr:col>
                    <xdr:colOff>200025</xdr:colOff>
                    <xdr:row>14</xdr:row>
                    <xdr:rowOff>171450</xdr:rowOff>
                  </from>
                  <to>
                    <xdr:col>8</xdr:col>
                    <xdr:colOff>466725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2" name="Check Box 62">
              <controlPr defaultSize="0" autoFill="0" autoLine="0" autoPict="0">
                <anchor moveWithCells="1">
                  <from>
                    <xdr:col>3</xdr:col>
                    <xdr:colOff>200025</xdr:colOff>
                    <xdr:row>15</xdr:row>
                    <xdr:rowOff>171450</xdr:rowOff>
                  </from>
                  <to>
                    <xdr:col>3</xdr:col>
                    <xdr:colOff>476250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3" name="Check Box 63">
              <controlPr defaultSize="0" autoFill="0" autoLine="0" autoPict="0">
                <anchor moveWithCells="1">
                  <from>
                    <xdr:col>4</xdr:col>
                    <xdr:colOff>200025</xdr:colOff>
                    <xdr:row>15</xdr:row>
                    <xdr:rowOff>171450</xdr:rowOff>
                  </from>
                  <to>
                    <xdr:col>4</xdr:col>
                    <xdr:colOff>466725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4" name="Check Box 64">
              <controlPr defaultSize="0" autoFill="0" autoLine="0" autoPict="0">
                <anchor moveWithCells="1">
                  <from>
                    <xdr:col>5</xdr:col>
                    <xdr:colOff>200025</xdr:colOff>
                    <xdr:row>15</xdr:row>
                    <xdr:rowOff>171450</xdr:rowOff>
                  </from>
                  <to>
                    <xdr:col>5</xdr:col>
                    <xdr:colOff>466725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5" name="Check Box 65">
              <controlPr defaultSize="0" autoFill="0" autoLine="0" autoPict="0">
                <anchor moveWithCells="1">
                  <from>
                    <xdr:col>6</xdr:col>
                    <xdr:colOff>200025</xdr:colOff>
                    <xdr:row>15</xdr:row>
                    <xdr:rowOff>171450</xdr:rowOff>
                  </from>
                  <to>
                    <xdr:col>6</xdr:col>
                    <xdr:colOff>466725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6" name="Check Box 66">
              <controlPr defaultSize="0" autoFill="0" autoLine="0" autoPict="0">
                <anchor moveWithCells="1">
                  <from>
                    <xdr:col>7</xdr:col>
                    <xdr:colOff>200025</xdr:colOff>
                    <xdr:row>15</xdr:row>
                    <xdr:rowOff>171450</xdr:rowOff>
                  </from>
                  <to>
                    <xdr:col>7</xdr:col>
                    <xdr:colOff>466725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7" name="Check Box 67">
              <controlPr defaultSize="0" autoFill="0" autoLine="0" autoPict="0">
                <anchor moveWithCells="1">
                  <from>
                    <xdr:col>8</xdr:col>
                    <xdr:colOff>200025</xdr:colOff>
                    <xdr:row>15</xdr:row>
                    <xdr:rowOff>171450</xdr:rowOff>
                  </from>
                  <to>
                    <xdr:col>8</xdr:col>
                    <xdr:colOff>466725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8" name="Check Box 68">
              <controlPr defaultSize="0" autoFill="0" autoLine="0" autoPict="0">
                <anchor moveWithCells="1">
                  <from>
                    <xdr:col>3</xdr:col>
                    <xdr:colOff>200025</xdr:colOff>
                    <xdr:row>16</xdr:row>
                    <xdr:rowOff>171450</xdr:rowOff>
                  </from>
                  <to>
                    <xdr:col>3</xdr:col>
                    <xdr:colOff>476250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9" name="Check Box 69">
              <controlPr defaultSize="0" autoFill="0" autoLine="0" autoPict="0">
                <anchor moveWithCells="1">
                  <from>
                    <xdr:col>4</xdr:col>
                    <xdr:colOff>200025</xdr:colOff>
                    <xdr:row>16</xdr:row>
                    <xdr:rowOff>171450</xdr:rowOff>
                  </from>
                  <to>
                    <xdr:col>4</xdr:col>
                    <xdr:colOff>466725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0" name="Check Box 70">
              <controlPr defaultSize="0" autoFill="0" autoLine="0" autoPict="0">
                <anchor moveWithCells="1">
                  <from>
                    <xdr:col>5</xdr:col>
                    <xdr:colOff>200025</xdr:colOff>
                    <xdr:row>16</xdr:row>
                    <xdr:rowOff>171450</xdr:rowOff>
                  </from>
                  <to>
                    <xdr:col>5</xdr:col>
                    <xdr:colOff>466725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1" name="Check Box 71">
              <controlPr defaultSize="0" autoFill="0" autoLine="0" autoPict="0">
                <anchor moveWithCells="1">
                  <from>
                    <xdr:col>6</xdr:col>
                    <xdr:colOff>200025</xdr:colOff>
                    <xdr:row>16</xdr:row>
                    <xdr:rowOff>171450</xdr:rowOff>
                  </from>
                  <to>
                    <xdr:col>6</xdr:col>
                    <xdr:colOff>466725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2" name="Check Box 72">
              <controlPr defaultSize="0" autoFill="0" autoLine="0" autoPict="0">
                <anchor moveWithCells="1">
                  <from>
                    <xdr:col>7</xdr:col>
                    <xdr:colOff>200025</xdr:colOff>
                    <xdr:row>16</xdr:row>
                    <xdr:rowOff>171450</xdr:rowOff>
                  </from>
                  <to>
                    <xdr:col>7</xdr:col>
                    <xdr:colOff>466725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3" name="Check Box 73">
              <controlPr defaultSize="0" autoFill="0" autoLine="0" autoPict="0">
                <anchor moveWithCells="1">
                  <from>
                    <xdr:col>8</xdr:col>
                    <xdr:colOff>200025</xdr:colOff>
                    <xdr:row>16</xdr:row>
                    <xdr:rowOff>171450</xdr:rowOff>
                  </from>
                  <to>
                    <xdr:col>8</xdr:col>
                    <xdr:colOff>466725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4" name="Check Box 74">
              <controlPr defaultSize="0" autoFill="0" autoLine="0" autoPict="0">
                <anchor moveWithCells="1">
                  <from>
                    <xdr:col>3</xdr:col>
                    <xdr:colOff>200025</xdr:colOff>
                    <xdr:row>17</xdr:row>
                    <xdr:rowOff>171450</xdr:rowOff>
                  </from>
                  <to>
                    <xdr:col>3</xdr:col>
                    <xdr:colOff>476250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5" name="Check Box 75">
              <controlPr defaultSize="0" autoFill="0" autoLine="0" autoPict="0">
                <anchor moveWithCells="1">
                  <from>
                    <xdr:col>4</xdr:col>
                    <xdr:colOff>200025</xdr:colOff>
                    <xdr:row>17</xdr:row>
                    <xdr:rowOff>171450</xdr:rowOff>
                  </from>
                  <to>
                    <xdr:col>4</xdr:col>
                    <xdr:colOff>466725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6" name="Check Box 76">
              <controlPr defaultSize="0" autoFill="0" autoLine="0" autoPict="0">
                <anchor moveWithCells="1">
                  <from>
                    <xdr:col>5</xdr:col>
                    <xdr:colOff>200025</xdr:colOff>
                    <xdr:row>17</xdr:row>
                    <xdr:rowOff>171450</xdr:rowOff>
                  </from>
                  <to>
                    <xdr:col>5</xdr:col>
                    <xdr:colOff>466725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7" name="Check Box 77">
              <controlPr defaultSize="0" autoFill="0" autoLine="0" autoPict="0">
                <anchor moveWithCells="1">
                  <from>
                    <xdr:col>6</xdr:col>
                    <xdr:colOff>200025</xdr:colOff>
                    <xdr:row>17</xdr:row>
                    <xdr:rowOff>171450</xdr:rowOff>
                  </from>
                  <to>
                    <xdr:col>6</xdr:col>
                    <xdr:colOff>466725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8" name="Check Box 78">
              <controlPr defaultSize="0" autoFill="0" autoLine="0" autoPict="0">
                <anchor moveWithCells="1">
                  <from>
                    <xdr:col>7</xdr:col>
                    <xdr:colOff>200025</xdr:colOff>
                    <xdr:row>17</xdr:row>
                    <xdr:rowOff>171450</xdr:rowOff>
                  </from>
                  <to>
                    <xdr:col>7</xdr:col>
                    <xdr:colOff>466725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9" name="Check Box 79">
              <controlPr defaultSize="0" autoFill="0" autoLine="0" autoPict="0">
                <anchor moveWithCells="1">
                  <from>
                    <xdr:col>8</xdr:col>
                    <xdr:colOff>200025</xdr:colOff>
                    <xdr:row>17</xdr:row>
                    <xdr:rowOff>171450</xdr:rowOff>
                  </from>
                  <to>
                    <xdr:col>8</xdr:col>
                    <xdr:colOff>466725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0" name="Check Box 80">
              <controlPr defaultSize="0" autoFill="0" autoLine="0" autoPict="0">
                <anchor moveWithCells="1">
                  <from>
                    <xdr:col>3</xdr:col>
                    <xdr:colOff>200025</xdr:colOff>
                    <xdr:row>18</xdr:row>
                    <xdr:rowOff>171450</xdr:rowOff>
                  </from>
                  <to>
                    <xdr:col>3</xdr:col>
                    <xdr:colOff>476250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71" name="Check Box 81">
              <controlPr defaultSize="0" autoFill="0" autoLine="0" autoPict="0">
                <anchor moveWithCells="1">
                  <from>
                    <xdr:col>4</xdr:col>
                    <xdr:colOff>200025</xdr:colOff>
                    <xdr:row>18</xdr:row>
                    <xdr:rowOff>171450</xdr:rowOff>
                  </from>
                  <to>
                    <xdr:col>4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2" name="Check Box 82">
              <controlPr defaultSize="0" autoFill="0" autoLine="0" autoPict="0">
                <anchor moveWithCells="1">
                  <from>
                    <xdr:col>5</xdr:col>
                    <xdr:colOff>200025</xdr:colOff>
                    <xdr:row>18</xdr:row>
                    <xdr:rowOff>171450</xdr:rowOff>
                  </from>
                  <to>
                    <xdr:col>5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3" name="Check Box 83">
              <controlPr defaultSize="0" autoFill="0" autoLine="0" autoPict="0">
                <anchor moveWithCells="1">
                  <from>
                    <xdr:col>6</xdr:col>
                    <xdr:colOff>200025</xdr:colOff>
                    <xdr:row>18</xdr:row>
                    <xdr:rowOff>171450</xdr:rowOff>
                  </from>
                  <to>
                    <xdr:col>6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4" name="Check Box 84">
              <controlPr defaultSize="0" autoFill="0" autoLine="0" autoPict="0">
                <anchor moveWithCells="1">
                  <from>
                    <xdr:col>7</xdr:col>
                    <xdr:colOff>200025</xdr:colOff>
                    <xdr:row>18</xdr:row>
                    <xdr:rowOff>171450</xdr:rowOff>
                  </from>
                  <to>
                    <xdr:col>7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5" name="Check Box 85">
              <controlPr defaultSize="0" autoFill="0" autoLine="0" autoPict="0">
                <anchor moveWithCells="1">
                  <from>
                    <xdr:col>8</xdr:col>
                    <xdr:colOff>200025</xdr:colOff>
                    <xdr:row>18</xdr:row>
                    <xdr:rowOff>171450</xdr:rowOff>
                  </from>
                  <to>
                    <xdr:col>8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6" name="Check Box 86">
              <controlPr defaultSize="0" autoFill="0" autoLine="0" autoPict="0">
                <anchor moveWithCells="1">
                  <from>
                    <xdr:col>10</xdr:col>
                    <xdr:colOff>200025</xdr:colOff>
                    <xdr:row>7</xdr:row>
                    <xdr:rowOff>171450</xdr:rowOff>
                  </from>
                  <to>
                    <xdr:col>10</xdr:col>
                    <xdr:colOff>485775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7" name="Check Box 87">
              <controlPr defaultSize="0" autoFill="0" autoLine="0" autoPict="0">
                <anchor moveWithCells="1">
                  <from>
                    <xdr:col>12</xdr:col>
                    <xdr:colOff>209550</xdr:colOff>
                    <xdr:row>7</xdr:row>
                    <xdr:rowOff>171450</xdr:rowOff>
                  </from>
                  <to>
                    <xdr:col>12</xdr:col>
                    <xdr:colOff>495300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8" name="Check Box 88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171450</xdr:rowOff>
                  </from>
                  <to>
                    <xdr:col>14</xdr:col>
                    <xdr:colOff>495300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9" name="Check Box 89">
              <controlPr defaultSize="0" autoFill="0" autoLine="0" autoPict="0">
                <anchor moveWithCells="1">
                  <from>
                    <xdr:col>16</xdr:col>
                    <xdr:colOff>209550</xdr:colOff>
                    <xdr:row>7</xdr:row>
                    <xdr:rowOff>171450</xdr:rowOff>
                  </from>
                  <to>
                    <xdr:col>16</xdr:col>
                    <xdr:colOff>495300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0" name="Check Box 90">
              <controlPr defaultSize="0" autoFill="0" autoLine="0" autoPict="0">
                <anchor moveWithCells="1">
                  <from>
                    <xdr:col>10</xdr:col>
                    <xdr:colOff>200025</xdr:colOff>
                    <xdr:row>8</xdr:row>
                    <xdr:rowOff>171450</xdr:rowOff>
                  </from>
                  <to>
                    <xdr:col>10</xdr:col>
                    <xdr:colOff>485775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81" name="Check Box 91">
              <controlPr defaultSize="0" autoFill="0" autoLine="0" autoPict="0">
                <anchor moveWithCells="1">
                  <from>
                    <xdr:col>12</xdr:col>
                    <xdr:colOff>209550</xdr:colOff>
                    <xdr:row>8</xdr:row>
                    <xdr:rowOff>171450</xdr:rowOff>
                  </from>
                  <to>
                    <xdr:col>12</xdr:col>
                    <xdr:colOff>495300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2" name="Check Box 92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161925</xdr:rowOff>
                  </from>
                  <to>
                    <xdr:col>14</xdr:col>
                    <xdr:colOff>495300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3" name="Check Box 93">
              <controlPr defaultSize="0" autoFill="0" autoLine="0" autoPict="0">
                <anchor moveWithCells="1">
                  <from>
                    <xdr:col>16</xdr:col>
                    <xdr:colOff>209550</xdr:colOff>
                    <xdr:row>8</xdr:row>
                    <xdr:rowOff>161925</xdr:rowOff>
                  </from>
                  <to>
                    <xdr:col>16</xdr:col>
                    <xdr:colOff>495300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4" name="Check Box 94">
              <controlPr defaultSize="0" autoFill="0" autoLine="0" autoPict="0">
                <anchor moveWithCells="1">
                  <from>
                    <xdr:col>10</xdr:col>
                    <xdr:colOff>200025</xdr:colOff>
                    <xdr:row>9</xdr:row>
                    <xdr:rowOff>171450</xdr:rowOff>
                  </from>
                  <to>
                    <xdr:col>10</xdr:col>
                    <xdr:colOff>476250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5" name="Check Box 95">
              <controlPr defaultSize="0" autoFill="0" autoLine="0" autoPict="0">
                <anchor moveWithCells="1">
                  <from>
                    <xdr:col>12</xdr:col>
                    <xdr:colOff>209550</xdr:colOff>
                    <xdr:row>9</xdr:row>
                    <xdr:rowOff>171450</xdr:rowOff>
                  </from>
                  <to>
                    <xdr:col>12</xdr:col>
                    <xdr:colOff>485775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6" name="Check Box 96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171450</xdr:rowOff>
                  </from>
                  <to>
                    <xdr:col>14</xdr:col>
                    <xdr:colOff>504825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7" name="Check Box 97">
              <controlPr defaultSize="0" autoFill="0" autoLine="0" autoPict="0">
                <anchor moveWithCells="1">
                  <from>
                    <xdr:col>16</xdr:col>
                    <xdr:colOff>209550</xdr:colOff>
                    <xdr:row>9</xdr:row>
                    <xdr:rowOff>171450</xdr:rowOff>
                  </from>
                  <to>
                    <xdr:col>16</xdr:col>
                    <xdr:colOff>504825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8" name="Check Box 98">
              <controlPr defaultSize="0" autoFill="0" autoLine="0" autoPict="0">
                <anchor moveWithCells="1">
                  <from>
                    <xdr:col>10</xdr:col>
                    <xdr:colOff>200025</xdr:colOff>
                    <xdr:row>10</xdr:row>
                    <xdr:rowOff>171450</xdr:rowOff>
                  </from>
                  <to>
                    <xdr:col>10</xdr:col>
                    <xdr:colOff>476250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9" name="Check Box 99">
              <controlPr defaultSize="0" autoFill="0" autoLine="0" autoPict="0">
                <anchor moveWithCells="1">
                  <from>
                    <xdr:col>12</xdr:col>
                    <xdr:colOff>209550</xdr:colOff>
                    <xdr:row>10</xdr:row>
                    <xdr:rowOff>171450</xdr:rowOff>
                  </from>
                  <to>
                    <xdr:col>12</xdr:col>
                    <xdr:colOff>485775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0" name="Check Box 10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171450</xdr:rowOff>
                  </from>
                  <to>
                    <xdr:col>14</xdr:col>
                    <xdr:colOff>504825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1" name="Check Box 101">
              <controlPr defaultSize="0" autoFill="0" autoLine="0" autoPict="0">
                <anchor moveWithCells="1">
                  <from>
                    <xdr:col>16</xdr:col>
                    <xdr:colOff>209550</xdr:colOff>
                    <xdr:row>10</xdr:row>
                    <xdr:rowOff>171450</xdr:rowOff>
                  </from>
                  <to>
                    <xdr:col>16</xdr:col>
                    <xdr:colOff>504825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2" name="Check Box 102">
              <controlPr defaultSize="0" autoFill="0" autoLine="0" autoPict="0">
                <anchor moveWithCells="1">
                  <from>
                    <xdr:col>10</xdr:col>
                    <xdr:colOff>200025</xdr:colOff>
                    <xdr:row>11</xdr:row>
                    <xdr:rowOff>171450</xdr:rowOff>
                  </from>
                  <to>
                    <xdr:col>10</xdr:col>
                    <xdr:colOff>476250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3" name="Check Box 103">
              <controlPr defaultSize="0" autoFill="0" autoLine="0" autoPict="0">
                <anchor moveWithCells="1">
                  <from>
                    <xdr:col>12</xdr:col>
                    <xdr:colOff>209550</xdr:colOff>
                    <xdr:row>11</xdr:row>
                    <xdr:rowOff>171450</xdr:rowOff>
                  </from>
                  <to>
                    <xdr:col>12</xdr:col>
                    <xdr:colOff>485775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4" name="Check Box 104">
              <controlPr defaultSize="0" autoFill="0" autoLine="0" autoPict="0">
                <anchor moveWithCells="1">
                  <from>
                    <xdr:col>14</xdr:col>
                    <xdr:colOff>209550</xdr:colOff>
                    <xdr:row>11</xdr:row>
                    <xdr:rowOff>161925</xdr:rowOff>
                  </from>
                  <to>
                    <xdr:col>14</xdr:col>
                    <xdr:colOff>495300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95" name="Check Box 105">
              <controlPr defaultSize="0" autoFill="0" autoLine="0" autoPict="0">
                <anchor moveWithCells="1">
                  <from>
                    <xdr:col>16</xdr:col>
                    <xdr:colOff>209550</xdr:colOff>
                    <xdr:row>11</xdr:row>
                    <xdr:rowOff>161925</xdr:rowOff>
                  </from>
                  <to>
                    <xdr:col>16</xdr:col>
                    <xdr:colOff>495300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96" name="Check Box 106">
              <controlPr defaultSize="0" autoFill="0" autoLine="0" autoPict="0">
                <anchor moveWithCells="1">
                  <from>
                    <xdr:col>10</xdr:col>
                    <xdr:colOff>200025</xdr:colOff>
                    <xdr:row>12</xdr:row>
                    <xdr:rowOff>161925</xdr:rowOff>
                  </from>
                  <to>
                    <xdr:col>10</xdr:col>
                    <xdr:colOff>476250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7" name="Check Box 107">
              <controlPr defaultSize="0" autoFill="0" autoLine="0" autoPict="0">
                <anchor moveWithCells="1">
                  <from>
                    <xdr:col>12</xdr:col>
                    <xdr:colOff>209550</xdr:colOff>
                    <xdr:row>12</xdr:row>
                    <xdr:rowOff>161925</xdr:rowOff>
                  </from>
                  <to>
                    <xdr:col>12</xdr:col>
                    <xdr:colOff>485775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8" name="Check Box 108">
              <controlPr defaultSize="0" autoFill="0" autoLine="0" autoPict="0">
                <anchor moveWithCells="1">
                  <from>
                    <xdr:col>14</xdr:col>
                    <xdr:colOff>209550</xdr:colOff>
                    <xdr:row>12</xdr:row>
                    <xdr:rowOff>171450</xdr:rowOff>
                  </from>
                  <to>
                    <xdr:col>14</xdr:col>
                    <xdr:colOff>504825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9" name="Check Box 109">
              <controlPr defaultSize="0" autoFill="0" autoLine="0" autoPict="0">
                <anchor moveWithCells="1">
                  <from>
                    <xdr:col>16</xdr:col>
                    <xdr:colOff>209550</xdr:colOff>
                    <xdr:row>12</xdr:row>
                    <xdr:rowOff>161925</xdr:rowOff>
                  </from>
                  <to>
                    <xdr:col>16</xdr:col>
                    <xdr:colOff>495300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0" name="Check Box 110">
              <controlPr defaultSize="0" autoFill="0" autoLine="0" autoPict="0">
                <anchor moveWithCells="1">
                  <from>
                    <xdr:col>10</xdr:col>
                    <xdr:colOff>200025</xdr:colOff>
                    <xdr:row>13</xdr:row>
                    <xdr:rowOff>161925</xdr:rowOff>
                  </from>
                  <to>
                    <xdr:col>10</xdr:col>
                    <xdr:colOff>485775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01" name="Check Box 111">
              <controlPr defaultSize="0" autoFill="0" autoLine="0" autoPict="0">
                <anchor moveWithCells="1">
                  <from>
                    <xdr:col>12</xdr:col>
                    <xdr:colOff>209550</xdr:colOff>
                    <xdr:row>13</xdr:row>
                    <xdr:rowOff>161925</xdr:rowOff>
                  </from>
                  <to>
                    <xdr:col>12</xdr:col>
                    <xdr:colOff>485775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2" name="Check Box 112">
              <controlPr defaultSize="0" autoFill="0" autoLine="0" autoPict="0">
                <anchor moveWithCells="1">
                  <from>
                    <xdr:col>14</xdr:col>
                    <xdr:colOff>209550</xdr:colOff>
                    <xdr:row>13</xdr:row>
                    <xdr:rowOff>161925</xdr:rowOff>
                  </from>
                  <to>
                    <xdr:col>14</xdr:col>
                    <xdr:colOff>495300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03" name="Check Box 113">
              <controlPr defaultSize="0" autoFill="0" autoLine="0" autoPict="0">
                <anchor moveWithCells="1">
                  <from>
                    <xdr:col>16</xdr:col>
                    <xdr:colOff>209550</xdr:colOff>
                    <xdr:row>13</xdr:row>
                    <xdr:rowOff>161925</xdr:rowOff>
                  </from>
                  <to>
                    <xdr:col>16</xdr:col>
                    <xdr:colOff>495300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4" name="Check Box 114">
              <controlPr defaultSize="0" autoFill="0" autoLine="0" autoPict="0">
                <anchor moveWithCells="1">
                  <from>
                    <xdr:col>10</xdr:col>
                    <xdr:colOff>200025</xdr:colOff>
                    <xdr:row>14</xdr:row>
                    <xdr:rowOff>161925</xdr:rowOff>
                  </from>
                  <to>
                    <xdr:col>10</xdr:col>
                    <xdr:colOff>485775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05" name="Check Box 115">
              <controlPr defaultSize="0" autoFill="0" autoLine="0" autoPict="0">
                <anchor moveWithCells="1">
                  <from>
                    <xdr:col>12</xdr:col>
                    <xdr:colOff>209550</xdr:colOff>
                    <xdr:row>14</xdr:row>
                    <xdr:rowOff>161925</xdr:rowOff>
                  </from>
                  <to>
                    <xdr:col>12</xdr:col>
                    <xdr:colOff>485775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06" name="Check Box 116">
              <controlPr defaultSize="0" autoFill="0" autoLine="0" autoPict="0">
                <anchor moveWithCells="1">
                  <from>
                    <xdr:col>14</xdr:col>
                    <xdr:colOff>209550</xdr:colOff>
                    <xdr:row>14</xdr:row>
                    <xdr:rowOff>161925</xdr:rowOff>
                  </from>
                  <to>
                    <xdr:col>14</xdr:col>
                    <xdr:colOff>495300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07" name="Check Box 117">
              <controlPr defaultSize="0" autoFill="0" autoLine="0" autoPict="0">
                <anchor moveWithCells="1">
                  <from>
                    <xdr:col>16</xdr:col>
                    <xdr:colOff>209550</xdr:colOff>
                    <xdr:row>14</xdr:row>
                    <xdr:rowOff>161925</xdr:rowOff>
                  </from>
                  <to>
                    <xdr:col>16</xdr:col>
                    <xdr:colOff>495300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08" name="Check Box 118">
              <controlPr defaultSize="0" autoFill="0" autoLine="0" autoPict="0">
                <anchor moveWithCells="1">
                  <from>
                    <xdr:col>10</xdr:col>
                    <xdr:colOff>200025</xdr:colOff>
                    <xdr:row>15</xdr:row>
                    <xdr:rowOff>171450</xdr:rowOff>
                  </from>
                  <to>
                    <xdr:col>10</xdr:col>
                    <xdr:colOff>476250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09" name="Check Box 119">
              <controlPr defaultSize="0" autoFill="0" autoLine="0" autoPict="0">
                <anchor moveWithCells="1">
                  <from>
                    <xdr:col>12</xdr:col>
                    <xdr:colOff>209550</xdr:colOff>
                    <xdr:row>15</xdr:row>
                    <xdr:rowOff>171450</xdr:rowOff>
                  </from>
                  <to>
                    <xdr:col>12</xdr:col>
                    <xdr:colOff>485775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0" name="Check Box 120">
              <controlPr defaultSize="0" autoFill="0" autoLine="0" autoPict="0">
                <anchor moveWithCells="1">
                  <from>
                    <xdr:col>14</xdr:col>
                    <xdr:colOff>209550</xdr:colOff>
                    <xdr:row>15</xdr:row>
                    <xdr:rowOff>171450</xdr:rowOff>
                  </from>
                  <to>
                    <xdr:col>14</xdr:col>
                    <xdr:colOff>504825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11" name="Check Box 121">
              <controlPr defaultSize="0" autoFill="0" autoLine="0" autoPict="0">
                <anchor moveWithCells="1">
                  <from>
                    <xdr:col>16</xdr:col>
                    <xdr:colOff>209550</xdr:colOff>
                    <xdr:row>15</xdr:row>
                    <xdr:rowOff>171450</xdr:rowOff>
                  </from>
                  <to>
                    <xdr:col>16</xdr:col>
                    <xdr:colOff>504825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12" name="Check Box 122">
              <controlPr defaultSize="0" autoFill="0" autoLine="0" autoPict="0">
                <anchor moveWithCells="1">
                  <from>
                    <xdr:col>10</xdr:col>
                    <xdr:colOff>200025</xdr:colOff>
                    <xdr:row>16</xdr:row>
                    <xdr:rowOff>161925</xdr:rowOff>
                  </from>
                  <to>
                    <xdr:col>10</xdr:col>
                    <xdr:colOff>476250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13" name="Check Box 123">
              <controlPr defaultSize="0" autoFill="0" autoLine="0" autoPict="0">
                <anchor moveWithCells="1">
                  <from>
                    <xdr:col>12</xdr:col>
                    <xdr:colOff>209550</xdr:colOff>
                    <xdr:row>16</xdr:row>
                    <xdr:rowOff>161925</xdr:rowOff>
                  </from>
                  <to>
                    <xdr:col>12</xdr:col>
                    <xdr:colOff>485775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14" name="Check Box 124">
              <controlPr defaultSize="0" autoFill="0" autoLine="0" autoPict="0">
                <anchor moveWithCells="1">
                  <from>
                    <xdr:col>14</xdr:col>
                    <xdr:colOff>209550</xdr:colOff>
                    <xdr:row>16</xdr:row>
                    <xdr:rowOff>171450</xdr:rowOff>
                  </from>
                  <to>
                    <xdr:col>14</xdr:col>
                    <xdr:colOff>504825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15" name="Check Box 125">
              <controlPr defaultSize="0" autoFill="0" autoLine="0" autoPict="0">
                <anchor moveWithCells="1">
                  <from>
                    <xdr:col>16</xdr:col>
                    <xdr:colOff>209550</xdr:colOff>
                    <xdr:row>16</xdr:row>
                    <xdr:rowOff>171450</xdr:rowOff>
                  </from>
                  <to>
                    <xdr:col>16</xdr:col>
                    <xdr:colOff>504825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6" name="Check Box 126">
              <controlPr defaultSize="0" autoFill="0" autoLine="0" autoPict="0">
                <anchor moveWithCells="1">
                  <from>
                    <xdr:col>10</xdr:col>
                    <xdr:colOff>200025</xdr:colOff>
                    <xdr:row>17</xdr:row>
                    <xdr:rowOff>161925</xdr:rowOff>
                  </from>
                  <to>
                    <xdr:col>10</xdr:col>
                    <xdr:colOff>476250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7" name="Check Box 127">
              <controlPr defaultSize="0" autoFill="0" autoLine="0" autoPict="0">
                <anchor moveWithCells="1">
                  <from>
                    <xdr:col>12</xdr:col>
                    <xdr:colOff>209550</xdr:colOff>
                    <xdr:row>17</xdr:row>
                    <xdr:rowOff>161925</xdr:rowOff>
                  </from>
                  <to>
                    <xdr:col>12</xdr:col>
                    <xdr:colOff>485775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8" name="Check Box 128">
              <controlPr defaultSize="0" autoFill="0" autoLine="0" autoPict="0">
                <anchor moveWithCells="1">
                  <from>
                    <xdr:col>14</xdr:col>
                    <xdr:colOff>209550</xdr:colOff>
                    <xdr:row>17</xdr:row>
                    <xdr:rowOff>171450</xdr:rowOff>
                  </from>
                  <to>
                    <xdr:col>14</xdr:col>
                    <xdr:colOff>504825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9" name="Check Box 129">
              <controlPr defaultSize="0" autoFill="0" autoLine="0" autoPict="0">
                <anchor moveWithCells="1">
                  <from>
                    <xdr:col>16</xdr:col>
                    <xdr:colOff>209550</xdr:colOff>
                    <xdr:row>17</xdr:row>
                    <xdr:rowOff>171450</xdr:rowOff>
                  </from>
                  <to>
                    <xdr:col>16</xdr:col>
                    <xdr:colOff>504825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0" name="Check Box 130">
              <controlPr defaultSize="0" autoFill="0" autoLine="0" autoPict="0">
                <anchor moveWithCells="1">
                  <from>
                    <xdr:col>10</xdr:col>
                    <xdr:colOff>200025</xdr:colOff>
                    <xdr:row>18</xdr:row>
                    <xdr:rowOff>161925</xdr:rowOff>
                  </from>
                  <to>
                    <xdr:col>10</xdr:col>
                    <xdr:colOff>476250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21" name="Check Box 131">
              <controlPr defaultSize="0" autoFill="0" autoLine="0" autoPict="0">
                <anchor moveWithCells="1">
                  <from>
                    <xdr:col>12</xdr:col>
                    <xdr:colOff>209550</xdr:colOff>
                    <xdr:row>18</xdr:row>
                    <xdr:rowOff>161925</xdr:rowOff>
                  </from>
                  <to>
                    <xdr:col>12</xdr:col>
                    <xdr:colOff>485775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22" name="Check Box 132">
              <controlPr defaultSize="0" autoFill="0" autoLine="0" autoPict="0">
                <anchor moveWithCells="1">
                  <from>
                    <xdr:col>14</xdr:col>
                    <xdr:colOff>209550</xdr:colOff>
                    <xdr:row>18</xdr:row>
                    <xdr:rowOff>171450</xdr:rowOff>
                  </from>
                  <to>
                    <xdr:col>14</xdr:col>
                    <xdr:colOff>504825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23" name="Check Box 133">
              <controlPr defaultSize="0" autoFill="0" autoLine="0" autoPict="0">
                <anchor moveWithCells="1">
                  <from>
                    <xdr:col>16</xdr:col>
                    <xdr:colOff>209550</xdr:colOff>
                    <xdr:row>18</xdr:row>
                    <xdr:rowOff>171450</xdr:rowOff>
                  </from>
                  <to>
                    <xdr:col>16</xdr:col>
                    <xdr:colOff>504825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F3F1-8245-4E3F-8991-0BFE7D83FB68}">
  <sheetPr codeName="Planilha2"/>
  <dimension ref="A1:K22"/>
  <sheetViews>
    <sheetView workbookViewId="0">
      <selection sqref="A1:J1"/>
    </sheetView>
  </sheetViews>
  <sheetFormatPr defaultColWidth="8.7109375" defaultRowHeight="15" x14ac:dyDescent="0.25"/>
  <cols>
    <col min="1" max="1" width="14.7109375" style="20" customWidth="1"/>
    <col min="2" max="11" width="10.7109375" style="20" customWidth="1"/>
    <col min="12" max="12" width="22.7109375" style="20" customWidth="1"/>
    <col min="13" max="16384" width="8.7109375" style="20"/>
  </cols>
  <sheetData>
    <row r="1" spans="1:11" ht="30.75" x14ac:dyDescent="0.55000000000000004">
      <c r="A1" s="82" t="s">
        <v>62</v>
      </c>
      <c r="B1" s="82"/>
      <c r="C1" s="82"/>
      <c r="D1" s="82"/>
      <c r="E1" s="82"/>
      <c r="F1" s="82"/>
      <c r="G1" s="82"/>
      <c r="H1" s="82"/>
      <c r="I1" s="82"/>
      <c r="J1" s="82"/>
    </row>
    <row r="2" spans="1:11" ht="16.5" x14ac:dyDescent="0.25">
      <c r="A2" s="83" t="s">
        <v>63</v>
      </c>
      <c r="B2" s="83"/>
      <c r="C2" s="83"/>
      <c r="D2" s="83"/>
      <c r="E2" s="83"/>
      <c r="F2" s="83"/>
      <c r="G2" s="83"/>
      <c r="H2" s="83"/>
      <c r="I2" s="83"/>
      <c r="J2" s="83"/>
    </row>
    <row r="3" spans="1:11" ht="33.6" customHeight="1" x14ac:dyDescent="0.35">
      <c r="A3" s="84" t="s">
        <v>64</v>
      </c>
      <c r="B3" s="84"/>
      <c r="C3" s="84"/>
      <c r="D3" s="84"/>
      <c r="E3" s="84"/>
      <c r="F3" s="84"/>
      <c r="G3" s="84"/>
      <c r="H3" s="84"/>
      <c r="I3" s="84"/>
      <c r="J3" s="84"/>
      <c r="K3" s="84"/>
    </row>
    <row r="4" spans="1:11" x14ac:dyDescent="0.25">
      <c r="A4" s="40" t="s">
        <v>65</v>
      </c>
      <c r="B4" s="40" t="s">
        <v>42</v>
      </c>
      <c r="C4" s="40" t="s">
        <v>44</v>
      </c>
      <c r="D4" s="40" t="s">
        <v>45</v>
      </c>
      <c r="E4" s="40" t="s">
        <v>11</v>
      </c>
      <c r="F4" s="40" t="s">
        <v>46</v>
      </c>
      <c r="G4" s="40" t="s">
        <v>47</v>
      </c>
      <c r="H4" s="40" t="s">
        <v>48</v>
      </c>
      <c r="I4" s="40" t="s">
        <v>49</v>
      </c>
      <c r="J4" s="40" t="s">
        <v>50</v>
      </c>
      <c r="K4" s="40" t="s">
        <v>51</v>
      </c>
    </row>
    <row r="5" spans="1:11" ht="19.5" customHeight="1" x14ac:dyDescent="0.25">
      <c r="A5" s="42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1" ht="33.6" customHeight="1" x14ac:dyDescent="0.35">
      <c r="A6" s="85" t="s">
        <v>66</v>
      </c>
      <c r="B6" s="85"/>
      <c r="C6" s="85"/>
      <c r="D6" s="85"/>
      <c r="E6" s="85"/>
      <c r="F6" s="85"/>
      <c r="G6" s="85"/>
      <c r="H6" s="85"/>
      <c r="I6" s="85"/>
      <c r="J6" s="85"/>
      <c r="K6" s="85"/>
    </row>
    <row r="7" spans="1:11" x14ac:dyDescent="0.25">
      <c r="A7" s="40" t="s">
        <v>65</v>
      </c>
      <c r="B7" s="40" t="s">
        <v>42</v>
      </c>
      <c r="C7" s="40" t="s">
        <v>44</v>
      </c>
      <c r="D7" s="40" t="s">
        <v>45</v>
      </c>
      <c r="E7" s="40" t="s">
        <v>11</v>
      </c>
      <c r="F7" s="40" t="s">
        <v>46</v>
      </c>
      <c r="G7" s="40" t="s">
        <v>47</v>
      </c>
      <c r="H7" s="40" t="s">
        <v>48</v>
      </c>
      <c r="I7" s="40" t="s">
        <v>49</v>
      </c>
      <c r="J7" s="40" t="s">
        <v>50</v>
      </c>
      <c r="K7" s="40" t="s">
        <v>51</v>
      </c>
    </row>
    <row r="8" spans="1:11" ht="19.5" customHeight="1" x14ac:dyDescent="0.25">
      <c r="A8" s="45"/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 ht="19.5" customHeight="1" x14ac:dyDescent="0.25">
      <c r="A9" s="46"/>
      <c r="B9" s="44"/>
      <c r="C9" s="44"/>
      <c r="D9" s="44"/>
      <c r="E9" s="44"/>
      <c r="F9" s="44"/>
      <c r="G9" s="44"/>
      <c r="H9" s="44"/>
      <c r="I9" s="44"/>
      <c r="J9" s="44"/>
      <c r="K9" s="44"/>
    </row>
    <row r="10" spans="1:11" ht="19.5" customHeight="1" x14ac:dyDescent="0.25">
      <c r="A10" s="46"/>
      <c r="B10" s="44"/>
      <c r="C10" s="44"/>
      <c r="D10" s="44"/>
      <c r="E10" s="44"/>
      <c r="F10" s="44"/>
      <c r="G10" s="44"/>
      <c r="H10" s="44"/>
      <c r="I10" s="44"/>
      <c r="J10" s="44"/>
      <c r="K10" s="44"/>
    </row>
    <row r="11" spans="1:11" ht="19.5" customHeight="1" x14ac:dyDescent="0.25">
      <c r="A11" s="46"/>
      <c r="B11" s="44"/>
      <c r="C11" s="44"/>
      <c r="D11" s="44"/>
      <c r="E11" s="44"/>
      <c r="F11" s="44"/>
      <c r="G11" s="44"/>
      <c r="H11" s="44"/>
      <c r="I11" s="44"/>
      <c r="J11" s="44"/>
      <c r="K11" s="44"/>
    </row>
    <row r="12" spans="1:11" ht="19.5" customHeight="1" x14ac:dyDescent="0.25">
      <c r="A12" s="46"/>
      <c r="B12" s="44"/>
      <c r="C12" s="44"/>
      <c r="D12" s="44"/>
      <c r="E12" s="44"/>
      <c r="F12" s="44"/>
      <c r="G12" s="44"/>
      <c r="H12" s="44"/>
      <c r="I12" s="44"/>
      <c r="J12" s="44"/>
      <c r="K12" s="44"/>
    </row>
    <row r="13" spans="1:11" ht="19.5" customHeight="1" x14ac:dyDescent="0.25">
      <c r="A13" s="46"/>
      <c r="B13" s="44"/>
      <c r="C13" s="44"/>
      <c r="D13" s="44"/>
      <c r="E13" s="44"/>
      <c r="F13" s="44"/>
      <c r="G13" s="44"/>
      <c r="H13" s="44"/>
      <c r="I13" s="44"/>
      <c r="J13" s="44"/>
      <c r="K13" s="44"/>
    </row>
    <row r="14" spans="1:11" ht="19.5" customHeight="1" x14ac:dyDescent="0.25">
      <c r="A14" s="46"/>
      <c r="B14" s="44"/>
      <c r="C14" s="44"/>
      <c r="D14" s="44"/>
      <c r="E14" s="44"/>
      <c r="F14" s="44"/>
      <c r="G14" s="44"/>
      <c r="H14" s="44"/>
      <c r="I14" s="44"/>
      <c r="J14" s="44"/>
      <c r="K14" s="44"/>
    </row>
    <row r="15" spans="1:11" ht="19.5" customHeight="1" x14ac:dyDescent="0.25">
      <c r="A15" s="46"/>
      <c r="B15" s="44"/>
      <c r="C15" s="44"/>
      <c r="D15" s="44"/>
      <c r="E15" s="44"/>
      <c r="F15" s="44"/>
      <c r="G15" s="44"/>
      <c r="H15" s="44"/>
      <c r="I15" s="44"/>
      <c r="J15" s="44"/>
      <c r="K15" s="44"/>
    </row>
    <row r="16" spans="1:11" ht="19.5" customHeight="1" x14ac:dyDescent="0.25">
      <c r="A16" s="46"/>
      <c r="B16" s="44"/>
      <c r="C16" s="44"/>
      <c r="D16" s="44"/>
      <c r="E16" s="44"/>
      <c r="F16" s="44"/>
      <c r="G16" s="44"/>
      <c r="H16" s="44"/>
      <c r="I16" s="44"/>
      <c r="J16" s="44"/>
      <c r="K16" s="44"/>
    </row>
    <row r="17" spans="1:11" ht="19.5" customHeight="1" x14ac:dyDescent="0.25">
      <c r="A17" s="46"/>
      <c r="B17" s="44"/>
      <c r="C17" s="44"/>
      <c r="D17" s="44"/>
      <c r="E17" s="44"/>
      <c r="F17" s="44"/>
      <c r="G17" s="44"/>
      <c r="H17" s="44"/>
      <c r="I17" s="44"/>
      <c r="J17" s="44"/>
      <c r="K17" s="44"/>
    </row>
    <row r="18" spans="1:11" ht="19.5" customHeight="1" x14ac:dyDescent="0.25">
      <c r="A18" s="46"/>
      <c r="B18" s="44"/>
      <c r="C18" s="44"/>
      <c r="D18" s="44"/>
      <c r="E18" s="44"/>
      <c r="F18" s="44"/>
      <c r="G18" s="44"/>
      <c r="H18" s="44"/>
      <c r="I18" s="44"/>
      <c r="J18" s="44"/>
      <c r="K18" s="44"/>
    </row>
    <row r="19" spans="1:11" ht="19.5" customHeight="1" x14ac:dyDescent="0.25">
      <c r="A19" s="46"/>
      <c r="B19" s="44"/>
      <c r="C19" s="44"/>
      <c r="D19" s="44"/>
      <c r="E19" s="44"/>
      <c r="F19" s="44"/>
      <c r="G19" s="44"/>
      <c r="H19" s="44"/>
      <c r="I19" s="44"/>
      <c r="J19" s="44"/>
      <c r="K19" s="44"/>
    </row>
    <row r="20" spans="1:11" ht="19.5" customHeight="1" x14ac:dyDescent="0.25">
      <c r="A20" s="46"/>
      <c r="B20" s="44"/>
      <c r="C20" s="44"/>
      <c r="D20" s="44"/>
      <c r="E20" s="44"/>
      <c r="F20" s="44"/>
      <c r="G20" s="44"/>
      <c r="H20" s="44"/>
      <c r="I20" s="44"/>
      <c r="J20" s="44"/>
      <c r="K20" s="44"/>
    </row>
    <row r="21" spans="1:11" ht="19.5" customHeight="1" x14ac:dyDescent="0.25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</row>
    <row r="22" spans="1:11" ht="19.5" customHeight="1" x14ac:dyDescent="0.25">
      <c r="A22" s="47"/>
      <c r="B22" s="48"/>
      <c r="C22" s="48"/>
      <c r="D22" s="48"/>
      <c r="E22" s="48"/>
      <c r="F22" s="48"/>
      <c r="G22" s="48"/>
      <c r="H22" s="48"/>
      <c r="I22" s="48"/>
      <c r="J22" s="48"/>
      <c r="K22" s="48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Hora_x000d__x000a__x000d__x000a_TBL_CUR[TIME]" sqref="A5" xr:uid="{FE473498-8C1C-450B-A838-84D2EF126F42}"/>
    <dataValidation allowBlank="1" showInputMessage="1" showErrorMessage="1" prompt="TBL_CUR[CH1]" sqref="B5" xr:uid="{C2455653-2AB1-4C2D-A2B4-F072F6E05187}"/>
    <dataValidation allowBlank="1" showInputMessage="1" showErrorMessage="1" prompt="TBL_CUR[CH2]" sqref="C5" xr:uid="{99F9B2D9-54CA-40DD-AB1B-300D1C2B92E0}"/>
    <dataValidation allowBlank="1" showInputMessage="1" showErrorMessage="1" prompt="TBL_CUR[CH3]" sqref="D5" xr:uid="{DCAD41F7-7564-48A7-AFA5-9FA4A1A610E5}"/>
    <dataValidation allowBlank="1" showInputMessage="1" showErrorMessage="1" prompt="TBL_CUR[CH4]" sqref="E5" xr:uid="{A92A3F6A-A570-498E-AE56-5271573DB90A}"/>
    <dataValidation allowBlank="1" showInputMessage="1" showErrorMessage="1" prompt="TBL_CUR[CH5]" sqref="F5" xr:uid="{96E29BE5-C042-4544-BB22-2DBB949BD943}"/>
    <dataValidation allowBlank="1" showInputMessage="1" showErrorMessage="1" prompt="TBL_CUR[CH6]" sqref="G5" xr:uid="{16D90AA8-DE5F-4F79-BAF2-1265D8281AFD}"/>
    <dataValidation allowBlank="1" showInputMessage="1" showErrorMessage="1" prompt="TBL_CUR[CH7]" sqref="H5" xr:uid="{A17B002D-F4AB-49BB-AD7B-79079260ED17}"/>
    <dataValidation allowBlank="1" showInputMessage="1" showErrorMessage="1" prompt="TBL_CUR[CH8]" sqref="I5" xr:uid="{44BF40F2-B2C1-41B9-9B87-E0A2A37C4409}"/>
    <dataValidation allowBlank="1" showInputMessage="1" showErrorMessage="1" prompt="TBL_CUR[CH9]" sqref="J5" xr:uid="{1FB700F3-2BC9-4C28-893D-B5C439E4315C}"/>
    <dataValidation allowBlank="1" showInputMessage="1" showErrorMessage="1" prompt="TBL_CUR[CH10]" sqref="K5" xr:uid="{20838A3D-9FCF-4BC3-9EAA-3632A6B66ACB}"/>
    <dataValidation allowBlank="1" showInputMessage="1" showErrorMessage="1" prompt="Hora_x000d__x000a__x000d__x000a_TBL_HST[TIME]" sqref="A8:A22" xr:uid="{DC87EA01-A44A-4946-9345-465893CD6261}"/>
    <dataValidation allowBlank="1" showInputMessage="1" showErrorMessage="1" prompt="TBL_HST[CH1]" sqref="B8:B22" xr:uid="{F73585AA-212F-4372-B7A7-A2764BE59038}"/>
    <dataValidation allowBlank="1" showInputMessage="1" showErrorMessage="1" prompt="TBL_HST[CH2]" sqref="C8:C22" xr:uid="{921E09B1-13BA-4C57-971A-57EDFCE3B453}"/>
    <dataValidation allowBlank="1" showInputMessage="1" showErrorMessage="1" prompt="TBL_HST[CH3]" sqref="D8:D22" xr:uid="{1746FC2E-F205-4B49-8FA2-E7824FF7B40C}"/>
    <dataValidation allowBlank="1" showInputMessage="1" showErrorMessage="1" prompt="TBL_HST[CH4]" sqref="E8:E22" xr:uid="{8379A765-9B74-486C-AF0B-AC4C47FA31E1}"/>
    <dataValidation allowBlank="1" showInputMessage="1" showErrorMessage="1" prompt="TBL_HST[CH5]" sqref="F8:F22" xr:uid="{0F118522-D78F-4251-8C71-CAFD472F8C0E}"/>
    <dataValidation allowBlank="1" showInputMessage="1" showErrorMessage="1" prompt="TBL_HST[CH6]" sqref="G8:G22" xr:uid="{698FB623-137F-48BC-A1C1-C941500BB7BD}"/>
    <dataValidation allowBlank="1" showInputMessage="1" showErrorMessage="1" prompt="TBL_HST[CH7]" sqref="H8:H22" xr:uid="{E078FD42-0361-40D1-B0AF-1BC6F78EC0EB}"/>
    <dataValidation allowBlank="1" showInputMessage="1" showErrorMessage="1" prompt="TBL_HST[CH8]" sqref="I8:I22" xr:uid="{324CD90E-8011-446A-BD5C-7AF845985F9D}"/>
    <dataValidation allowBlank="1" showInputMessage="1" showErrorMessage="1" prompt="TBL_HST[CH9]" sqref="J8:J22" xr:uid="{AD494902-7124-400F-91F4-01BC00FDF877}"/>
    <dataValidation allowBlank="1" showInputMessage="1" showErrorMessage="1" prompt="TBL_HST[CH10]" sqref="K8:K22" xr:uid="{0E32C920-A7C9-4538-A785-3749DA44EA25}"/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EEE44-F0A6-434F-AA55-D910A084248E}">
  <sheetPr codeName="Planilha3"/>
  <dimension ref="A1:J5"/>
  <sheetViews>
    <sheetView workbookViewId="0">
      <selection activeCell="A6" sqref="A6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86" t="s">
        <v>60</v>
      </c>
      <c r="B1" s="86"/>
      <c r="C1" s="86"/>
      <c r="D1" s="86"/>
      <c r="E1" s="86"/>
      <c r="F1" s="86"/>
      <c r="G1" s="86"/>
      <c r="H1" s="86"/>
    </row>
    <row r="2" spans="1:10" ht="16.5" x14ac:dyDescent="0.25">
      <c r="A2" s="87" t="s">
        <v>61</v>
      </c>
      <c r="B2" s="87"/>
      <c r="C2" s="87"/>
      <c r="D2" s="87"/>
      <c r="E2" s="87"/>
      <c r="F2" s="87"/>
      <c r="G2" s="87"/>
      <c r="H2" s="87"/>
    </row>
    <row r="3" spans="1:10" ht="17.45" customHeight="1" x14ac:dyDescent="0.25"/>
    <row r="4" spans="1:10" ht="19.5" customHeight="1" x14ac:dyDescent="0.25">
      <c r="A4" s="37" t="s">
        <v>42</v>
      </c>
      <c r="B4" s="38" t="s">
        <v>44</v>
      </c>
      <c r="C4" s="38" t="s">
        <v>45</v>
      </c>
      <c r="D4" s="38" t="s">
        <v>11</v>
      </c>
      <c r="E4" s="38" t="s">
        <v>46</v>
      </c>
      <c r="F4" s="38" t="s">
        <v>47</v>
      </c>
      <c r="G4" s="38" t="s">
        <v>48</v>
      </c>
      <c r="H4" s="38" t="s">
        <v>49</v>
      </c>
      <c r="I4" s="38" t="s">
        <v>50</v>
      </c>
      <c r="J4" s="38" t="s">
        <v>51</v>
      </c>
    </row>
    <row r="5" spans="1:10" ht="27" customHeight="1" x14ac:dyDescent="0.25">
      <c r="A5" s="39">
        <f>STEP!A1</f>
        <v>0</v>
      </c>
      <c r="B5" s="39"/>
      <c r="C5" s="39"/>
      <c r="D5" s="39"/>
      <c r="E5" s="39"/>
      <c r="F5" s="39"/>
      <c r="G5" s="39"/>
      <c r="H5" s="39"/>
      <c r="I5" s="39"/>
      <c r="J5" s="39"/>
    </row>
  </sheetData>
  <mergeCells count="2">
    <mergeCell ref="A1:H1"/>
    <mergeCell ref="A2:H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0CC8B-F82A-4112-B2E7-B866075993B0}">
  <sheetPr codeName="Planilha4"/>
  <dimension ref="A1:E13"/>
  <sheetViews>
    <sheetView workbookViewId="0">
      <selection sqref="A1:E1"/>
    </sheetView>
  </sheetViews>
  <sheetFormatPr defaultColWidth="8.7109375" defaultRowHeight="15" x14ac:dyDescent="0.25"/>
  <cols>
    <col min="1" max="1" width="30.7109375" style="33" customWidth="1"/>
    <col min="2" max="2" width="0.140625" style="33" customWidth="1"/>
    <col min="3" max="3" width="30.7109375" style="33" customWidth="1"/>
    <col min="4" max="16384" width="8.7109375" style="33"/>
  </cols>
  <sheetData>
    <row r="1" spans="1:5" ht="30.75" x14ac:dyDescent="0.55000000000000004">
      <c r="A1" s="88" t="s">
        <v>52</v>
      </c>
      <c r="B1" s="88"/>
      <c r="C1" s="88"/>
      <c r="D1" s="88"/>
      <c r="E1" s="88"/>
    </row>
    <row r="2" spans="1:5" ht="50.1" customHeight="1" x14ac:dyDescent="0.25">
      <c r="A2" s="89" t="s">
        <v>53</v>
      </c>
      <c r="B2" s="89"/>
      <c r="C2" s="89"/>
      <c r="D2" s="89"/>
      <c r="E2" s="89"/>
    </row>
    <row r="3" spans="1:5" ht="4.5" customHeight="1" x14ac:dyDescent="0.25"/>
    <row r="4" spans="1:5" ht="24" customHeight="1" x14ac:dyDescent="0.25">
      <c r="A4" s="34" t="s">
        <v>54</v>
      </c>
      <c r="B4" s="35">
        <v>150</v>
      </c>
      <c r="C4" s="36">
        <v>150</v>
      </c>
    </row>
    <row r="5" spans="1:5" ht="4.5" customHeight="1" x14ac:dyDescent="0.25"/>
    <row r="6" spans="1:5" ht="24" customHeight="1" x14ac:dyDescent="0.25">
      <c r="A6" s="34" t="s">
        <v>55</v>
      </c>
      <c r="B6" s="35">
        <v>15</v>
      </c>
      <c r="C6" s="36">
        <v>15</v>
      </c>
    </row>
    <row r="7" spans="1:5" ht="4.5" customHeight="1" x14ac:dyDescent="0.25"/>
    <row r="8" spans="1:5" ht="24" customHeight="1" x14ac:dyDescent="0.25">
      <c r="A8" s="34" t="s">
        <v>56</v>
      </c>
      <c r="B8" s="35">
        <v>10</v>
      </c>
      <c r="C8" s="36">
        <v>10</v>
      </c>
    </row>
    <row r="9" spans="1:5" ht="4.5" customHeight="1" x14ac:dyDescent="0.25"/>
    <row r="10" spans="1:5" ht="24" customHeight="1" x14ac:dyDescent="0.25">
      <c r="A10" s="34" t="s">
        <v>57</v>
      </c>
      <c r="B10" s="35" t="s">
        <v>58</v>
      </c>
      <c r="C10" s="36" t="s">
        <v>58</v>
      </c>
    </row>
    <row r="13" spans="1:5" ht="50.1" customHeight="1" x14ac:dyDescent="0.25">
      <c r="A13" s="90" t="s">
        <v>59</v>
      </c>
      <c r="B13" s="90"/>
      <c r="C13" s="90"/>
      <c r="D13" s="90"/>
      <c r="E13" s="90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O valor deve estar no intervalo de 10 a 1000" prompt="Duração mínima entre leituras de dados, em milissegundos. 10 para 1000" sqref="C4" xr:uid="{30BABD6F-B3D3-427F-810C-075DB5205803}">
      <formula1>10</formula1>
      <formula2>1000</formula2>
    </dataValidation>
    <dataValidation type="whole" allowBlank="1" showInputMessage="1" showErrorMessage="1" error="O valor deve estar no intervalo de 1 a 1000000" prompt="Número de linhas de dados históricas a serem mantidas. 1 para 1000000" sqref="C6" xr:uid="{3872E7EB-90A2-45EB-B5E0-74DDFB3F0421}">
      <formula1>1</formula1>
      <formula2>1000000</formula2>
    </dataValidation>
    <dataValidation type="whole" allowBlank="1" showInputMessage="1" showErrorMessage="1" error="O valor deve estar no intervalo de 1 a 1000" prompt="Número de colunas de dados a serem lidas. 1 para 1000" sqref="C8" xr:uid="{C69C5FF4-F4FA-4572-A7E0-AFE619407F10}">
      <formula1>1</formula1>
      <formula2>1000</formula2>
    </dataValidation>
    <dataValidation type="list" errorStyle="information" allowBlank="1" showInputMessage="1" sqref="C10" xr:uid="{50AEF9C7-8B28-4647-A1F6-01B4910AE1C1}">
      <formula1>"Mais recente primeiro,Mais recente por último"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1666-38F8-4F79-998F-E35ACF5DB5AE}">
  <sheetPr codeName="Planilha5"/>
  <dimension ref="A1:L16"/>
  <sheetViews>
    <sheetView workbookViewId="0">
      <selection sqref="A1:G1"/>
    </sheetView>
  </sheetViews>
  <sheetFormatPr defaultColWidth="8.7109375" defaultRowHeight="15" x14ac:dyDescent="0.25"/>
  <cols>
    <col min="1" max="2" width="3.7109375" style="21" customWidth="1"/>
    <col min="3" max="3" width="14.7109375" style="21" customWidth="1"/>
    <col min="4" max="4" width="18.7109375" style="21" customWidth="1"/>
    <col min="5" max="5" width="60.7109375" style="21" customWidth="1"/>
    <col min="6" max="6" width="16.7109375" style="21" customWidth="1"/>
    <col min="7" max="7" width="12.7109375" style="21" customWidth="1"/>
    <col min="8" max="8" width="8.7109375" style="21"/>
    <col min="9" max="9" width="16.7109375" style="21" customWidth="1"/>
    <col min="10" max="10" width="60.7109375" style="21" customWidth="1"/>
    <col min="11" max="16384" width="8.7109375" style="21"/>
  </cols>
  <sheetData>
    <row r="1" spans="1:12" ht="30.75" x14ac:dyDescent="0.55000000000000004">
      <c r="A1" s="93" t="s">
        <v>35</v>
      </c>
      <c r="B1" s="93"/>
      <c r="C1" s="93"/>
      <c r="D1" s="93"/>
      <c r="E1" s="93"/>
      <c r="F1" s="93"/>
      <c r="G1" s="93"/>
      <c r="L1" s="22" t="s">
        <v>70</v>
      </c>
    </row>
    <row r="2" spans="1:12" ht="48" customHeight="1" x14ac:dyDescent="0.25">
      <c r="A2" s="94" t="s">
        <v>36</v>
      </c>
      <c r="B2" s="94"/>
      <c r="C2" s="94"/>
      <c r="D2" s="94"/>
      <c r="E2" s="94"/>
      <c r="F2" s="94"/>
      <c r="G2" s="94"/>
    </row>
    <row r="3" spans="1:12" ht="26.1" customHeight="1" x14ac:dyDescent="0.5">
      <c r="B3" s="98" t="s">
        <v>31</v>
      </c>
      <c r="C3" s="98"/>
      <c r="D3" s="98"/>
      <c r="E3" s="98"/>
      <c r="F3" s="98"/>
      <c r="G3" s="98"/>
      <c r="H3" s="98"/>
    </row>
    <row r="4" spans="1:12" ht="26.1" customHeight="1" x14ac:dyDescent="0.3">
      <c r="B4" s="95"/>
      <c r="C4" s="95"/>
      <c r="D4" s="95"/>
      <c r="E4" s="95"/>
      <c r="F4" s="95"/>
      <c r="G4" s="95"/>
      <c r="I4" s="91" t="s">
        <v>32</v>
      </c>
      <c r="J4" s="91"/>
    </row>
    <row r="5" spans="1:12" ht="24" customHeight="1" x14ac:dyDescent="0.25">
      <c r="B5" s="96"/>
      <c r="C5" s="23" t="s">
        <v>37</v>
      </c>
      <c r="D5" s="23" t="s">
        <v>38</v>
      </c>
      <c r="E5" s="23" t="s">
        <v>39</v>
      </c>
      <c r="F5" s="23" t="s">
        <v>40</v>
      </c>
      <c r="G5" s="23" t="s">
        <v>41</v>
      </c>
      <c r="I5" s="92" t="s">
        <v>69</v>
      </c>
      <c r="J5" s="92"/>
      <c r="K5" s="22">
        <v>1</v>
      </c>
    </row>
    <row r="6" spans="1:12" ht="24" customHeight="1" x14ac:dyDescent="0.3">
      <c r="B6" s="96"/>
      <c r="C6" s="25" t="s">
        <v>42</v>
      </c>
      <c r="D6" s="26" t="s">
        <v>42</v>
      </c>
      <c r="E6" s="26"/>
      <c r="F6" s="26"/>
      <c r="G6" s="24" t="s">
        <v>43</v>
      </c>
      <c r="I6" s="91" t="s">
        <v>33</v>
      </c>
      <c r="J6" s="91"/>
    </row>
    <row r="7" spans="1:12" ht="24" customHeight="1" x14ac:dyDescent="0.25">
      <c r="B7" s="96"/>
      <c r="C7" s="28" t="s">
        <v>44</v>
      </c>
      <c r="D7" s="29" t="s">
        <v>44</v>
      </c>
      <c r="E7" s="29"/>
      <c r="F7" s="29"/>
      <c r="G7" s="27" t="s">
        <v>43</v>
      </c>
      <c r="I7" s="63">
        <v>150</v>
      </c>
    </row>
    <row r="8" spans="1:12" ht="24" customHeight="1" x14ac:dyDescent="0.3">
      <c r="B8" s="96"/>
      <c r="C8" s="28" t="s">
        <v>45</v>
      </c>
      <c r="D8" s="29" t="s">
        <v>45</v>
      </c>
      <c r="E8" s="29"/>
      <c r="F8" s="29"/>
      <c r="G8" s="27" t="s">
        <v>43</v>
      </c>
      <c r="I8" s="91" t="s">
        <v>34</v>
      </c>
      <c r="J8" s="91"/>
    </row>
    <row r="9" spans="1:12" ht="24" customHeight="1" x14ac:dyDescent="0.25">
      <c r="B9" s="96"/>
      <c r="C9" s="28" t="s">
        <v>11</v>
      </c>
      <c r="D9" s="29" t="s">
        <v>11</v>
      </c>
      <c r="E9" s="29"/>
      <c r="F9" s="29"/>
      <c r="G9" s="27" t="s">
        <v>43</v>
      </c>
      <c r="I9" s="63">
        <v>9600</v>
      </c>
    </row>
    <row r="10" spans="1:12" ht="24" customHeight="1" x14ac:dyDescent="0.25">
      <c r="B10" s="96"/>
      <c r="C10" s="28" t="s">
        <v>46</v>
      </c>
      <c r="D10" s="29" t="s">
        <v>46</v>
      </c>
      <c r="E10" s="29"/>
      <c r="F10" s="29"/>
      <c r="G10" s="27" t="s">
        <v>43</v>
      </c>
    </row>
    <row r="11" spans="1:12" ht="24" customHeight="1" x14ac:dyDescent="0.25">
      <c r="B11" s="96"/>
      <c r="C11" s="28" t="s">
        <v>47</v>
      </c>
      <c r="D11" s="29" t="s">
        <v>47</v>
      </c>
      <c r="E11" s="29"/>
      <c r="F11" s="29"/>
      <c r="G11" s="27" t="s">
        <v>43</v>
      </c>
    </row>
    <row r="12" spans="1:12" ht="24" customHeight="1" x14ac:dyDescent="0.25">
      <c r="B12" s="96"/>
      <c r="C12" s="28" t="s">
        <v>48</v>
      </c>
      <c r="D12" s="29" t="s">
        <v>48</v>
      </c>
      <c r="E12" s="29"/>
      <c r="F12" s="29"/>
      <c r="G12" s="27" t="s">
        <v>43</v>
      </c>
    </row>
    <row r="13" spans="1:12" ht="24" customHeight="1" x14ac:dyDescent="0.25">
      <c r="B13" s="96"/>
      <c r="C13" s="28" t="s">
        <v>49</v>
      </c>
      <c r="D13" s="29" t="s">
        <v>49</v>
      </c>
      <c r="E13" s="29"/>
      <c r="F13" s="29"/>
      <c r="G13" s="27" t="s">
        <v>43</v>
      </c>
    </row>
    <row r="14" spans="1:12" ht="24" customHeight="1" x14ac:dyDescent="0.25">
      <c r="B14" s="96"/>
      <c r="C14" s="28" t="s">
        <v>50</v>
      </c>
      <c r="D14" s="29" t="s">
        <v>50</v>
      </c>
      <c r="E14" s="29"/>
      <c r="F14" s="29"/>
      <c r="G14" s="27" t="s">
        <v>43</v>
      </c>
    </row>
    <row r="15" spans="1:12" ht="24" customHeight="1" thickBot="1" x14ac:dyDescent="0.3">
      <c r="B15" s="97"/>
      <c r="C15" s="30" t="s">
        <v>51</v>
      </c>
      <c r="D15" s="31" t="s">
        <v>51</v>
      </c>
      <c r="E15" s="31"/>
      <c r="F15" s="31"/>
      <c r="G15" s="32" t="s">
        <v>43</v>
      </c>
    </row>
    <row r="16" spans="1:12" ht="15.75" thickTop="1" x14ac:dyDescent="0.25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STEP</vt:lpstr>
      <vt:lpstr>Dados em</vt:lpstr>
      <vt:lpstr>Saída de dados</vt:lpstr>
      <vt:lpstr>Configurações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Gilberto Coelho</dc:creator>
  <cp:lastModifiedBy>Gilberto Coelho</cp:lastModifiedBy>
  <dcterms:created xsi:type="dcterms:W3CDTF">2022-09-24T19:53:10Z</dcterms:created>
  <dcterms:modified xsi:type="dcterms:W3CDTF">2022-10-13T12:04:59Z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cbff530b-a5e9-41dc-8fa8-9e431b0ffbff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